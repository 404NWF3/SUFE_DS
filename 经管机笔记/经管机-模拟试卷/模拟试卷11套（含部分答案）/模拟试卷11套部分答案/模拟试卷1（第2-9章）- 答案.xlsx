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trlProps/ctrlProp2.xml" ContentType="application/vnd.ms-excel.controlpropertie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trlProps/ctrlProp3.xml" ContentType="application/vnd.ms-excel.controlproperties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8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0 计算机应用 2013年版本--------\0 计算机应用2013版 - 各年上课----------\2019春 未上课\第1 2 3场考卷答案\"/>
    </mc:Choice>
  </mc:AlternateContent>
  <bookViews>
    <workbookView xWindow="0" yWindow="0" windowWidth="20490" windowHeight="7530" activeTab="3"/>
  </bookViews>
  <sheets>
    <sheet name="第1题" sheetId="22" r:id="rId1"/>
    <sheet name="第2题" sheetId="21" r:id="rId2"/>
    <sheet name="第3题" sheetId="20" r:id="rId3"/>
    <sheet name="第4题" sheetId="19" r:id="rId4"/>
    <sheet name="第5题" sheetId="13" r:id="rId5"/>
    <sheet name="第6题" sheetId="16" r:id="rId6"/>
    <sheet name="第7题" sheetId="15" r:id="rId7"/>
    <sheet name="第8题" sheetId="18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_____jin01">#REF!</definedName>
    <definedName name="_____sj1">[1]第1套!$A$1:$C$73</definedName>
    <definedName name="_____sj2">[2]第2题解答!$A$1:$D$251</definedName>
    <definedName name="____jin01">#REF!</definedName>
    <definedName name="____sj1">[1]第1套!$A$1:$C$73</definedName>
    <definedName name="____sj2">[2]第2题解答!$A$1:$D$251</definedName>
    <definedName name="____sj3">[3]第2题!$A$1:$D$198</definedName>
    <definedName name="____sj5">[4]第1套!$A$1:$C$73</definedName>
    <definedName name="___jin01">#REF!</definedName>
    <definedName name="___sj1">[1]第1套!$A$1:$C$73</definedName>
    <definedName name="___sj2">[2]第2题解答!$A$1:$D$251</definedName>
    <definedName name="___sj3">[3]第2题!$A$1:$D$198</definedName>
    <definedName name="___sj5">[4]第1套!$A$1:$C$73</definedName>
    <definedName name="__jin01">#REF!</definedName>
    <definedName name="__sj1">[1]第1套!$A$1:$C$73</definedName>
    <definedName name="__sj2">[2]第2题解答!$A$1:$D$251</definedName>
    <definedName name="__sj3">[3]第2题!$A$1:$D$198</definedName>
    <definedName name="__sj5">[4]第1套!$A$1:$C$73</definedName>
    <definedName name="_jin01" localSheetId="7">#REF!</definedName>
    <definedName name="_jin01">#REF!</definedName>
    <definedName name="_sj1">[5]第1套!$A$1:$C$73</definedName>
    <definedName name="_sj2">[5]第2套!$A$1:$D$251</definedName>
    <definedName name="_sj3">[3]第2题!$A$1:$D$198</definedName>
    <definedName name="_sj5">[4]第1套!$A$1:$C$73</definedName>
    <definedName name="aaa" localSheetId="7">OFFSET([6]第4题!XFC1,0,-1,3,1)</definedName>
    <definedName name="aaa">OFFSET([6]第4题!#REF!,0,-1,3,1)</definedName>
    <definedName name="ahzixingche" localSheetId="7">#REF!</definedName>
    <definedName name="ahzixingche">#REF!</definedName>
    <definedName name="Average">'[7]Simulation (2)'!$K$3:$N$3</definedName>
    <definedName name="Biao1" localSheetId="7">#REF!</definedName>
    <definedName name="Biao1">#REF!</definedName>
    <definedName name="Biao2" localSheetId="7">#REF!</definedName>
    <definedName name="Biao2">#REF!</definedName>
    <definedName name="Biao3" localSheetId="7">#REF!</definedName>
    <definedName name="Biao3">#REF!</definedName>
    <definedName name="Biao4" localSheetId="7">#REF!</definedName>
    <definedName name="Biao4">#REF!</definedName>
    <definedName name="BudgetTab" localSheetId="7">#REF!</definedName>
    <definedName name="BudgetTab">#REF!</definedName>
    <definedName name="dd" localSheetId="7">#REF!</definedName>
    <definedName name="dd">#REF!</definedName>
    <definedName name="kk" localSheetId="7">#REF!</definedName>
    <definedName name="kk">#REF!</definedName>
    <definedName name="MaintTable">[8]第3题!#REF!</definedName>
    <definedName name="OrderQuantity">'[7]Simulation (2)'!$D$3</definedName>
    <definedName name="sj">[9]第7题解答!$A$1:$E$65536</definedName>
    <definedName name="Table" localSheetId="7">[10]第6题!$K$2:$L$26</definedName>
    <definedName name="Table">[9]第8题解答!$K$3:$L$21</definedName>
    <definedName name="yssj">[11]D函数2!$A$1:$D$671</definedName>
    <definedName name="查询来自_nw" localSheetId="0" hidden="1">第1题!$A$1:$E$406</definedName>
    <definedName name="查询来自_stud" localSheetId="5">第6题!#REF!</definedName>
    <definedName name="查询来自_stud" localSheetId="6">第7题!#REF!</definedName>
    <definedName name="查询数据">[12]第2题!#REF!</definedName>
    <definedName name="陈元忠">[13]第1题!$D$3:$D$11</definedName>
    <definedName name="第1季度不规则值">[14]季节指数计算模型!$E$2,[14]季节指数计算模型!$E$7,[14]季节指数计算模型!$E$12,[14]季节指数计算模型!$E$17</definedName>
    <definedName name="第2季度不规则值">[14]季节指数计算模型!$E$3,[14]季节指数计算模型!$E$8,[14]季节指数计算模型!$E$13,[14]季节指数计算模型!$E$18</definedName>
    <definedName name="第3季度不规则值">[14]季节指数计算模型!$E$5,[14]季节指数计算模型!$E$10,[14]季节指数计算模型!$E$15</definedName>
    <definedName name="第4季度不规则值">[14]季节指数计算模型!$E$6,[14]季节指数计算模型!$E$11,[14]季节指数计算模型!$E$16,[14]季节指数计算模型!$E$21</definedName>
    <definedName name="基行" localSheetId="7">#REF!</definedName>
    <definedName name="基行">#REF!</definedName>
    <definedName name="蒋传海">[13]第1题!$C$3:$C$11</definedName>
    <definedName name="原始数据" localSheetId="7">#REF!</definedName>
    <definedName name="原始数据">#REF!</definedName>
    <definedName name="张雪凤">[13]第1题!$F$3:$F$11</definedName>
    <definedName name="周新燕">[13]第1题!$E$3:$E$11</definedName>
  </definedNames>
  <calcPr calcId="162913"/>
  <pivotCaches>
    <pivotCache cacheId="1" r:id="rId26"/>
  </pivotCaches>
</workbook>
</file>

<file path=xl/calcChain.xml><?xml version="1.0" encoding="utf-8"?>
<calcChain xmlns="http://schemas.openxmlformats.org/spreadsheetml/2006/main">
  <c r="J26" i="16" l="1"/>
  <c r="J25" i="16"/>
  <c r="J24" i="16"/>
  <c r="C24" i="16"/>
  <c r="J23" i="16"/>
  <c r="J22" i="16"/>
  <c r="J21" i="16"/>
  <c r="J20" i="16"/>
  <c r="J19" i="16"/>
  <c r="C19" i="16"/>
  <c r="J18" i="16"/>
  <c r="J17" i="16"/>
  <c r="J16" i="16"/>
  <c r="J15" i="16"/>
  <c r="J14" i="16"/>
  <c r="J13" i="16"/>
  <c r="C13" i="16"/>
  <c r="J12" i="16"/>
  <c r="J11" i="16"/>
  <c r="J10" i="16"/>
  <c r="J9" i="16"/>
  <c r="J8" i="16"/>
  <c r="J7" i="16"/>
  <c r="C7" i="16"/>
  <c r="J6" i="16"/>
  <c r="J5" i="16"/>
  <c r="J4" i="16"/>
  <c r="J3" i="16"/>
  <c r="J2" i="16"/>
  <c r="J9" i="18" l="1"/>
  <c r="L8" i="18"/>
  <c r="G6" i="18"/>
  <c r="G7" i="18" s="1"/>
  <c r="C6" i="18"/>
  <c r="G5" i="18"/>
  <c r="C5" i="18"/>
  <c r="Z3" i="18"/>
  <c r="Y3" i="18"/>
  <c r="X3" i="18"/>
  <c r="W3" i="18"/>
  <c r="V3" i="18"/>
  <c r="U3" i="18"/>
  <c r="T3" i="18"/>
  <c r="K331" i="18" l="1"/>
  <c r="K330" i="18"/>
  <c r="K329" i="18"/>
  <c r="K326" i="18"/>
  <c r="K325" i="18"/>
  <c r="K323" i="18"/>
  <c r="K322" i="18"/>
  <c r="K321" i="18"/>
  <c r="K319" i="18"/>
  <c r="K318" i="18"/>
  <c r="K317" i="18"/>
  <c r="K314" i="18"/>
  <c r="K313" i="18"/>
  <c r="K312" i="18"/>
  <c r="K311" i="18"/>
  <c r="K310" i="18"/>
  <c r="K309" i="18"/>
  <c r="K308" i="18"/>
  <c r="K307" i="18"/>
  <c r="K306" i="18"/>
  <c r="K305" i="18"/>
  <c r="K304" i="18"/>
  <c r="K302" i="18"/>
  <c r="K301" i="18"/>
  <c r="K373" i="18"/>
  <c r="K369" i="18"/>
  <c r="K367" i="18"/>
  <c r="K361" i="18"/>
  <c r="K359" i="18"/>
  <c r="K355" i="18"/>
  <c r="K353" i="18"/>
  <c r="K351" i="18"/>
  <c r="K349" i="18"/>
  <c r="K345" i="18"/>
  <c r="K343" i="18"/>
  <c r="K341" i="18"/>
  <c r="K339" i="18"/>
  <c r="K337" i="18"/>
  <c r="K335" i="18"/>
  <c r="K299" i="18"/>
  <c r="K297" i="18"/>
  <c r="K295" i="18"/>
  <c r="K293" i="18"/>
  <c r="K289" i="18"/>
  <c r="K287" i="18"/>
  <c r="K285" i="18"/>
  <c r="K281" i="18"/>
  <c r="K279" i="18"/>
  <c r="K273" i="18"/>
  <c r="K271" i="18"/>
  <c r="K372" i="18"/>
  <c r="K300" i="18"/>
  <c r="K296" i="18"/>
  <c r="K284" i="18"/>
  <c r="K280" i="18"/>
  <c r="K276" i="18"/>
  <c r="K268" i="18"/>
  <c r="K370" i="18"/>
  <c r="K360" i="18"/>
  <c r="K344" i="18"/>
  <c r="K338" i="18"/>
  <c r="K267" i="18"/>
  <c r="K263" i="18"/>
  <c r="K259" i="18"/>
  <c r="K251" i="18"/>
  <c r="K247" i="18"/>
  <c r="K235" i="18"/>
  <c r="K105" i="18"/>
  <c r="K102" i="18"/>
  <c r="K101" i="18"/>
  <c r="K99" i="18"/>
  <c r="K98" i="18"/>
  <c r="K97" i="18"/>
  <c r="K96" i="18"/>
  <c r="K94" i="18"/>
  <c r="K93" i="18"/>
  <c r="K90" i="18"/>
  <c r="K89" i="18"/>
  <c r="K88" i="18"/>
  <c r="K87" i="18"/>
  <c r="K86" i="18"/>
  <c r="K85" i="18"/>
  <c r="K84" i="18"/>
  <c r="K83" i="18"/>
  <c r="K82" i="18"/>
  <c r="K81" i="18"/>
  <c r="K79" i="18"/>
  <c r="K78" i="18"/>
  <c r="K77" i="18"/>
  <c r="K74" i="18"/>
  <c r="K73" i="18"/>
  <c r="K71" i="18"/>
  <c r="K70" i="18"/>
  <c r="K69" i="18"/>
  <c r="K68" i="18"/>
  <c r="K67" i="18"/>
  <c r="K66" i="18"/>
  <c r="K65" i="18"/>
  <c r="K63" i="18"/>
  <c r="K364" i="18"/>
  <c r="K358" i="18"/>
  <c r="K348" i="18"/>
  <c r="K342" i="18"/>
  <c r="K332" i="18"/>
  <c r="K286" i="18"/>
  <c r="K264" i="18"/>
  <c r="K260" i="18"/>
  <c r="K256" i="18"/>
  <c r="K252" i="18"/>
  <c r="K244" i="18"/>
  <c r="K240" i="18"/>
  <c r="K236" i="18"/>
  <c r="K230" i="18"/>
  <c r="K228" i="18"/>
  <c r="K222" i="18"/>
  <c r="K220" i="18"/>
  <c r="K218" i="18"/>
  <c r="K214" i="18"/>
  <c r="K212" i="18"/>
  <c r="K206" i="18"/>
  <c r="K204" i="18"/>
  <c r="K200" i="18"/>
  <c r="K198" i="18"/>
  <c r="K196" i="18"/>
  <c r="K194" i="18"/>
  <c r="K190" i="18"/>
  <c r="K188" i="18"/>
  <c r="K184" i="18"/>
  <c r="K182" i="18"/>
  <c r="K180" i="18"/>
  <c r="K178" i="18"/>
  <c r="K176" i="18"/>
  <c r="K174" i="18"/>
  <c r="K172" i="18"/>
  <c r="K170" i="18"/>
  <c r="K166" i="18"/>
  <c r="K164" i="18"/>
  <c r="K162" i="18"/>
  <c r="K160" i="18"/>
  <c r="K368" i="18"/>
  <c r="K346" i="18"/>
  <c r="K336" i="18"/>
  <c r="K298" i="18"/>
  <c r="K261" i="18"/>
  <c r="K253" i="18"/>
  <c r="K245" i="18"/>
  <c r="K155" i="18"/>
  <c r="K154" i="18"/>
  <c r="K147" i="18"/>
  <c r="K139" i="18"/>
  <c r="K138" i="18"/>
  <c r="K131" i="18"/>
  <c r="K130" i="18"/>
  <c r="K123" i="18"/>
  <c r="K122" i="18"/>
  <c r="K115" i="18"/>
  <c r="K107" i="18"/>
  <c r="K106" i="18"/>
  <c r="K38" i="18"/>
  <c r="K34" i="18"/>
  <c r="K32" i="18"/>
  <c r="K31" i="18"/>
  <c r="K28" i="18"/>
  <c r="K24" i="18"/>
  <c r="K22" i="18"/>
  <c r="K20" i="18"/>
  <c r="K16" i="18"/>
  <c r="K13" i="18"/>
  <c r="K12" i="18"/>
  <c r="K282" i="18"/>
  <c r="K265" i="18"/>
  <c r="K257" i="18"/>
  <c r="K159" i="18"/>
  <c r="K150" i="18"/>
  <c r="K143" i="18"/>
  <c r="K135" i="18"/>
  <c r="K127" i="18"/>
  <c r="K119" i="18"/>
  <c r="K111" i="18"/>
  <c r="G8" i="18"/>
  <c r="G9" i="18" s="1"/>
  <c r="G10" i="18" s="1"/>
  <c r="K340" i="18"/>
  <c r="K278" i="18"/>
  <c r="K262" i="18"/>
  <c r="K254" i="18"/>
  <c r="K246" i="18"/>
  <c r="K233" i="18"/>
  <c r="K221" i="18"/>
  <c r="K209" i="18"/>
  <c r="K201" i="18"/>
  <c r="K197" i="18"/>
  <c r="K185" i="18"/>
  <c r="K181" i="18"/>
  <c r="K169" i="18"/>
  <c r="K165" i="18"/>
  <c r="K157" i="18"/>
  <c r="K148" i="18"/>
  <c r="K140" i="18"/>
  <c r="K132" i="18"/>
  <c r="K125" i="18"/>
  <c r="K116" i="18"/>
  <c r="K109" i="18"/>
  <c r="K366" i="18"/>
  <c r="K356" i="18"/>
  <c r="K334" i="18"/>
  <c r="K294" i="18"/>
  <c r="K266" i="18"/>
  <c r="K258" i="18"/>
  <c r="K250" i="18"/>
  <c r="K242" i="18"/>
  <c r="K234" i="18"/>
  <c r="K231" i="18"/>
  <c r="K227" i="18"/>
  <c r="K223" i="18"/>
  <c r="K219" i="18"/>
  <c r="K215" i="18"/>
  <c r="K211" i="18"/>
  <c r="K207" i="18"/>
  <c r="K203" i="18"/>
  <c r="K199" i="18"/>
  <c r="K195" i="18"/>
  <c r="K191" i="18"/>
  <c r="K187" i="18"/>
  <c r="K183" i="18"/>
  <c r="K179" i="18"/>
  <c r="K175" i="18"/>
  <c r="K171" i="18"/>
  <c r="K167" i="18"/>
  <c r="K163" i="18"/>
  <c r="K153" i="18"/>
  <c r="K152" i="18"/>
  <c r="K145" i="18"/>
  <c r="K144" i="18"/>
  <c r="K137" i="18"/>
  <c r="K136" i="18"/>
  <c r="K129" i="18"/>
  <c r="K128" i="18"/>
  <c r="K121" i="18"/>
  <c r="K120" i="18"/>
  <c r="K113" i="18"/>
  <c r="K112" i="18"/>
  <c r="K62" i="18"/>
  <c r="K61" i="18"/>
  <c r="K60" i="18"/>
  <c r="K59" i="18"/>
  <c r="K58" i="18"/>
  <c r="K57" i="18"/>
  <c r="K56" i="18"/>
  <c r="K55" i="18"/>
  <c r="K54" i="18"/>
  <c r="K53" i="18"/>
  <c r="K52" i="18"/>
  <c r="K51" i="18"/>
  <c r="K50" i="18"/>
  <c r="K49" i="18"/>
  <c r="K48" i="18"/>
  <c r="K47" i="18"/>
  <c r="K46" i="18"/>
  <c r="K45" i="18"/>
  <c r="K44" i="18"/>
  <c r="K43" i="18"/>
  <c r="K42" i="18"/>
  <c r="K41" i="18"/>
  <c r="K40" i="18"/>
  <c r="K39" i="18"/>
  <c r="K37" i="18"/>
  <c r="K36" i="18"/>
  <c r="K35" i="18"/>
  <c r="K33" i="18"/>
  <c r="K30" i="18"/>
  <c r="K29" i="18"/>
  <c r="K27" i="18"/>
  <c r="K25" i="18"/>
  <c r="K23" i="18"/>
  <c r="K21" i="18"/>
  <c r="K19" i="18"/>
  <c r="K18" i="18"/>
  <c r="K15" i="18"/>
  <c r="K14" i="18"/>
  <c r="K11" i="18"/>
  <c r="K10" i="18"/>
  <c r="K352" i="18"/>
  <c r="K249" i="18"/>
  <c r="K158" i="18"/>
  <c r="K151" i="18"/>
  <c r="K142" i="18"/>
  <c r="K134" i="18"/>
  <c r="K126" i="18"/>
  <c r="K118" i="18"/>
  <c r="K110" i="18"/>
  <c r="K9" i="18"/>
  <c r="L9" i="18" s="1"/>
  <c r="K350" i="18"/>
  <c r="K238" i="18"/>
  <c r="K229" i="18"/>
  <c r="K225" i="18"/>
  <c r="K217" i="18"/>
  <c r="K213" i="18"/>
  <c r="K205" i="18"/>
  <c r="K193" i="18"/>
  <c r="K189" i="18"/>
  <c r="K177" i="18"/>
  <c r="K173" i="18"/>
  <c r="K161" i="18"/>
  <c r="K156" i="18"/>
  <c r="K149" i="18"/>
  <c r="K141" i="18"/>
  <c r="K133" i="18"/>
  <c r="K124" i="18"/>
  <c r="K117" i="18"/>
  <c r="K108" i="18"/>
  <c r="M9" i="18" l="1"/>
  <c r="P9" i="18"/>
  <c r="K241" i="18"/>
  <c r="K362" i="18"/>
  <c r="K17" i="18"/>
  <c r="K26" i="18"/>
  <c r="K114" i="18"/>
  <c r="K146" i="18"/>
  <c r="K237" i="18"/>
  <c r="K168" i="18"/>
  <c r="K192" i="18"/>
  <c r="K208" i="18"/>
  <c r="K216" i="18"/>
  <c r="K224" i="18"/>
  <c r="K232" i="18"/>
  <c r="K248" i="18"/>
  <c r="K75" i="18"/>
  <c r="K91" i="18"/>
  <c r="K95" i="18"/>
  <c r="K103" i="18"/>
  <c r="K239" i="18"/>
  <c r="K255" i="18"/>
  <c r="K274" i="18"/>
  <c r="K354" i="18"/>
  <c r="K272" i="18"/>
  <c r="K288" i="18"/>
  <c r="K275" i="18"/>
  <c r="K283" i="18"/>
  <c r="K291" i="18"/>
  <c r="K347" i="18"/>
  <c r="K363" i="18"/>
  <c r="K371" i="18"/>
  <c r="K303" i="18"/>
  <c r="K315" i="18"/>
  <c r="K327" i="18"/>
  <c r="K186" i="18"/>
  <c r="K202" i="18"/>
  <c r="K210" i="18"/>
  <c r="K226" i="18"/>
  <c r="K270" i="18"/>
  <c r="K64" i="18"/>
  <c r="K72" i="18"/>
  <c r="K76" i="18"/>
  <c r="K80" i="18"/>
  <c r="K92" i="18"/>
  <c r="K100" i="18"/>
  <c r="K104" i="18"/>
  <c r="K243" i="18"/>
  <c r="K290" i="18"/>
  <c r="K292" i="18"/>
  <c r="K269" i="18"/>
  <c r="K277" i="18"/>
  <c r="K333" i="18"/>
  <c r="K357" i="18"/>
  <c r="K365" i="18"/>
  <c r="K316" i="18"/>
  <c r="K320" i="18"/>
  <c r="K324" i="18"/>
  <c r="K328" i="18"/>
  <c r="O9" i="18" l="1"/>
  <c r="Q9" i="18" s="1"/>
  <c r="N9" i="18"/>
  <c r="J10" i="18" s="1"/>
  <c r="L10" i="18" s="1"/>
  <c r="P10" i="18" l="1"/>
  <c r="M10" i="18"/>
  <c r="O10" i="18" l="1"/>
  <c r="Q10" i="18" s="1"/>
  <c r="N10" i="18"/>
  <c r="J11" i="18" s="1"/>
  <c r="L11" i="18" s="1"/>
  <c r="P11" i="18" l="1"/>
  <c r="M11" i="18"/>
  <c r="N11" i="18" l="1"/>
  <c r="J12" i="18" s="1"/>
  <c r="L12" i="18" s="1"/>
  <c r="O11" i="18"/>
  <c r="Q11" i="18" s="1"/>
  <c r="P12" i="18" l="1"/>
  <c r="M12" i="18"/>
  <c r="N12" i="18" l="1"/>
  <c r="J13" i="18" s="1"/>
  <c r="L13" i="18" s="1"/>
  <c r="O12" i="18"/>
  <c r="Q12" i="18" s="1"/>
  <c r="P13" i="18" l="1"/>
  <c r="M13" i="18"/>
  <c r="O13" i="18" l="1"/>
  <c r="Q13" i="18" s="1"/>
  <c r="N13" i="18"/>
  <c r="J14" i="18" s="1"/>
  <c r="L14" i="18" s="1"/>
  <c r="P14" i="18" l="1"/>
  <c r="M14" i="18"/>
  <c r="O14" i="18" l="1"/>
  <c r="Q14" i="18" s="1"/>
  <c r="N14" i="18"/>
  <c r="J15" i="18" s="1"/>
  <c r="L15" i="18" s="1"/>
  <c r="P15" i="18" l="1"/>
  <c r="M15" i="18"/>
  <c r="O15" i="18" l="1"/>
  <c r="Q15" i="18" s="1"/>
  <c r="N15" i="18"/>
  <c r="J16" i="18" s="1"/>
  <c r="L16" i="18" s="1"/>
  <c r="P16" i="18" l="1"/>
  <c r="M16" i="18"/>
  <c r="O16" i="18" l="1"/>
  <c r="Q16" i="18" s="1"/>
  <c r="N16" i="18"/>
  <c r="J17" i="18" s="1"/>
  <c r="L17" i="18" s="1"/>
  <c r="P17" i="18" l="1"/>
  <c r="M17" i="18"/>
  <c r="O17" i="18" l="1"/>
  <c r="Q17" i="18" s="1"/>
  <c r="N17" i="18"/>
  <c r="J18" i="18" s="1"/>
  <c r="L18" i="18" s="1"/>
  <c r="P18" i="18" l="1"/>
  <c r="M18" i="18"/>
  <c r="O18" i="18" l="1"/>
  <c r="Q18" i="18" s="1"/>
  <c r="N18" i="18"/>
  <c r="J19" i="18" s="1"/>
  <c r="L19" i="18" s="1"/>
  <c r="P19" i="18" l="1"/>
  <c r="M19" i="18"/>
  <c r="N19" i="18" l="1"/>
  <c r="J20" i="18" s="1"/>
  <c r="L20" i="18" s="1"/>
  <c r="O19" i="18"/>
  <c r="Q19" i="18" s="1"/>
  <c r="P20" i="18" l="1"/>
  <c r="M20" i="18"/>
  <c r="O20" i="18" l="1"/>
  <c r="Q20" i="18" s="1"/>
  <c r="N20" i="18"/>
  <c r="J21" i="18" s="1"/>
  <c r="L21" i="18" s="1"/>
  <c r="P21" i="18" l="1"/>
  <c r="M21" i="18"/>
  <c r="O21" i="18" l="1"/>
  <c r="Q21" i="18" s="1"/>
  <c r="N21" i="18"/>
  <c r="J22" i="18" s="1"/>
  <c r="L22" i="18" s="1"/>
  <c r="P22" i="18" l="1"/>
  <c r="M22" i="18"/>
  <c r="O22" i="18" l="1"/>
  <c r="Q22" i="18" s="1"/>
  <c r="N22" i="18"/>
  <c r="J23" i="18" s="1"/>
  <c r="L23" i="18" s="1"/>
  <c r="P23" i="18" l="1"/>
  <c r="M23" i="18"/>
  <c r="O23" i="18" l="1"/>
  <c r="Q23" i="18" s="1"/>
  <c r="N23" i="18"/>
  <c r="J24" i="18" s="1"/>
  <c r="L24" i="18" s="1"/>
  <c r="P24" i="18" l="1"/>
  <c r="M24" i="18"/>
  <c r="O24" i="18" l="1"/>
  <c r="Q24" i="18" s="1"/>
  <c r="N24" i="18"/>
  <c r="J25" i="18" s="1"/>
  <c r="L25" i="18" s="1"/>
  <c r="P25" i="18" l="1"/>
  <c r="M25" i="18"/>
  <c r="N25" i="18" l="1"/>
  <c r="J26" i="18" s="1"/>
  <c r="L26" i="18" s="1"/>
  <c r="O25" i="18"/>
  <c r="Q25" i="18" s="1"/>
  <c r="P26" i="18" l="1"/>
  <c r="M26" i="18"/>
  <c r="O26" i="18" l="1"/>
  <c r="Q26" i="18" s="1"/>
  <c r="N26" i="18"/>
  <c r="J27" i="18" s="1"/>
  <c r="L27" i="18" s="1"/>
  <c r="P27" i="18" l="1"/>
  <c r="M27" i="18"/>
  <c r="N27" i="18" l="1"/>
  <c r="J28" i="18" s="1"/>
  <c r="L28" i="18" s="1"/>
  <c r="O27" i="18"/>
  <c r="Q27" i="18" s="1"/>
  <c r="P28" i="18" l="1"/>
  <c r="M28" i="18"/>
  <c r="O28" i="18" l="1"/>
  <c r="Q28" i="18" s="1"/>
  <c r="N28" i="18"/>
  <c r="J29" i="18" s="1"/>
  <c r="L29" i="18" s="1"/>
  <c r="P29" i="18" l="1"/>
  <c r="M29" i="18"/>
  <c r="O29" i="18" l="1"/>
  <c r="Q29" i="18" s="1"/>
  <c r="N29" i="18"/>
  <c r="J30" i="18" s="1"/>
  <c r="L30" i="18" s="1"/>
  <c r="P30" i="18" l="1"/>
  <c r="M30" i="18"/>
  <c r="O30" i="18" l="1"/>
  <c r="Q30" i="18" s="1"/>
  <c r="N30" i="18"/>
  <c r="J31" i="18" s="1"/>
  <c r="L31" i="18" s="1"/>
  <c r="P31" i="18" l="1"/>
  <c r="M31" i="18"/>
  <c r="O31" i="18" l="1"/>
  <c r="Q31" i="18" s="1"/>
  <c r="N31" i="18"/>
  <c r="J32" i="18" s="1"/>
  <c r="L32" i="18" s="1"/>
  <c r="P32" i="18" l="1"/>
  <c r="M32" i="18"/>
  <c r="O32" i="18" l="1"/>
  <c r="Q32" i="18" s="1"/>
  <c r="N32" i="18"/>
  <c r="J33" i="18" s="1"/>
  <c r="L33" i="18" s="1"/>
  <c r="P33" i="18" l="1"/>
  <c r="M33" i="18"/>
  <c r="N33" i="18" l="1"/>
  <c r="J34" i="18" s="1"/>
  <c r="L34" i="18" s="1"/>
  <c r="O33" i="18"/>
  <c r="Q33" i="18" s="1"/>
  <c r="P34" i="18" l="1"/>
  <c r="M34" i="18"/>
  <c r="O34" i="18" l="1"/>
  <c r="Q34" i="18" s="1"/>
  <c r="N34" i="18"/>
  <c r="J35" i="18" s="1"/>
  <c r="L35" i="18" s="1"/>
  <c r="P35" i="18" l="1"/>
  <c r="M35" i="18"/>
  <c r="N35" i="18" l="1"/>
  <c r="J36" i="18" s="1"/>
  <c r="L36" i="18" s="1"/>
  <c r="O35" i="18"/>
  <c r="Q35" i="18" s="1"/>
  <c r="P36" i="18" l="1"/>
  <c r="M36" i="18"/>
  <c r="N36" i="18" l="1"/>
  <c r="J37" i="18" s="1"/>
  <c r="L37" i="18" s="1"/>
  <c r="O36" i="18"/>
  <c r="Q36" i="18" s="1"/>
  <c r="P37" i="18" l="1"/>
  <c r="M37" i="18"/>
  <c r="O37" i="18" l="1"/>
  <c r="Q37" i="18" s="1"/>
  <c r="N37" i="18"/>
  <c r="J38" i="18" s="1"/>
  <c r="L38" i="18" s="1"/>
  <c r="P38" i="18" l="1"/>
  <c r="M38" i="18"/>
  <c r="O38" i="18" l="1"/>
  <c r="Q38" i="18" s="1"/>
  <c r="N38" i="18"/>
  <c r="J39" i="18" s="1"/>
  <c r="L39" i="18" s="1"/>
  <c r="P39" i="18" l="1"/>
  <c r="M39" i="18"/>
  <c r="O39" i="18" l="1"/>
  <c r="Q39" i="18" s="1"/>
  <c r="N39" i="18"/>
  <c r="J40" i="18" s="1"/>
  <c r="L40" i="18" s="1"/>
  <c r="P40" i="18" l="1"/>
  <c r="M40" i="18"/>
  <c r="O40" i="18" l="1"/>
  <c r="Q40" i="18" s="1"/>
  <c r="N40" i="18"/>
  <c r="J41" i="18" s="1"/>
  <c r="L41" i="18" s="1"/>
  <c r="P41" i="18" l="1"/>
  <c r="M41" i="18"/>
  <c r="N41" i="18" l="1"/>
  <c r="J42" i="18" s="1"/>
  <c r="L42" i="18" s="1"/>
  <c r="O41" i="18"/>
  <c r="Q41" i="18" s="1"/>
  <c r="P42" i="18" l="1"/>
  <c r="M42" i="18"/>
  <c r="N42" i="18" l="1"/>
  <c r="J43" i="18" s="1"/>
  <c r="L43" i="18" s="1"/>
  <c r="O42" i="18"/>
  <c r="Q42" i="18" s="1"/>
  <c r="P43" i="18" l="1"/>
  <c r="M43" i="18"/>
  <c r="N43" i="18" l="1"/>
  <c r="J44" i="18" s="1"/>
  <c r="L44" i="18" s="1"/>
  <c r="O43" i="18"/>
  <c r="Q43" i="18" s="1"/>
  <c r="P44" i="18" l="1"/>
  <c r="M44" i="18"/>
  <c r="N44" i="18" l="1"/>
  <c r="J45" i="18" s="1"/>
  <c r="L45" i="18" s="1"/>
  <c r="O44" i="18"/>
  <c r="Q44" i="18" s="1"/>
  <c r="P45" i="18" l="1"/>
  <c r="M45" i="18"/>
  <c r="N45" i="18" l="1"/>
  <c r="J46" i="18" s="1"/>
  <c r="L46" i="18" s="1"/>
  <c r="O45" i="18"/>
  <c r="Q45" i="18" s="1"/>
  <c r="P46" i="18" l="1"/>
  <c r="M46" i="18"/>
  <c r="O46" i="18" l="1"/>
  <c r="Q46" i="18" s="1"/>
  <c r="N46" i="18"/>
  <c r="J47" i="18" s="1"/>
  <c r="L47" i="18" s="1"/>
  <c r="P47" i="18" l="1"/>
  <c r="M47" i="18"/>
  <c r="O47" i="18" l="1"/>
  <c r="Q47" i="18" s="1"/>
  <c r="N47" i="18"/>
  <c r="J48" i="18" s="1"/>
  <c r="L48" i="18" s="1"/>
  <c r="P48" i="18" l="1"/>
  <c r="M48" i="18"/>
  <c r="O48" i="18" l="1"/>
  <c r="Q48" i="18" s="1"/>
  <c r="N48" i="18"/>
  <c r="J49" i="18" s="1"/>
  <c r="L49" i="18" s="1"/>
  <c r="P49" i="18" l="1"/>
  <c r="M49" i="18"/>
  <c r="O49" i="18" l="1"/>
  <c r="Q49" i="18" s="1"/>
  <c r="N49" i="18"/>
  <c r="J50" i="18" s="1"/>
  <c r="L50" i="18" s="1"/>
  <c r="P50" i="18" l="1"/>
  <c r="M50" i="18"/>
  <c r="N50" i="18" l="1"/>
  <c r="J51" i="18" s="1"/>
  <c r="L51" i="18" s="1"/>
  <c r="O50" i="18"/>
  <c r="Q50" i="18" s="1"/>
  <c r="P51" i="18" l="1"/>
  <c r="M51" i="18"/>
  <c r="N51" i="18" l="1"/>
  <c r="J52" i="18" s="1"/>
  <c r="L52" i="18" s="1"/>
  <c r="O51" i="18"/>
  <c r="Q51" i="18" s="1"/>
  <c r="P52" i="18" l="1"/>
  <c r="M52" i="18"/>
  <c r="N52" i="18" l="1"/>
  <c r="J53" i="18" s="1"/>
  <c r="L53" i="18" s="1"/>
  <c r="O52" i="18"/>
  <c r="Q52" i="18" s="1"/>
  <c r="P53" i="18" l="1"/>
  <c r="M53" i="18"/>
  <c r="N53" i="18" l="1"/>
  <c r="J54" i="18" s="1"/>
  <c r="L54" i="18" s="1"/>
  <c r="O53" i="18"/>
  <c r="Q53" i="18" s="1"/>
  <c r="P54" i="18" l="1"/>
  <c r="M54" i="18"/>
  <c r="N54" i="18" l="1"/>
  <c r="J55" i="18" s="1"/>
  <c r="L55" i="18" s="1"/>
  <c r="O54" i="18"/>
  <c r="Q54" i="18" s="1"/>
  <c r="P55" i="18" l="1"/>
  <c r="M55" i="18"/>
  <c r="N55" i="18" l="1"/>
  <c r="J56" i="18" s="1"/>
  <c r="L56" i="18" s="1"/>
  <c r="O55" i="18"/>
  <c r="Q55" i="18" s="1"/>
  <c r="P56" i="18" l="1"/>
  <c r="M56" i="18"/>
  <c r="O56" i="18" l="1"/>
  <c r="Q56" i="18" s="1"/>
  <c r="N56" i="18"/>
  <c r="J57" i="18" s="1"/>
  <c r="L57" i="18" s="1"/>
  <c r="P57" i="18" l="1"/>
  <c r="M57" i="18"/>
  <c r="O57" i="18" l="1"/>
  <c r="Q57" i="18" s="1"/>
  <c r="N57" i="18"/>
  <c r="J58" i="18" s="1"/>
  <c r="L58" i="18" s="1"/>
  <c r="P58" i="18" l="1"/>
  <c r="M58" i="18"/>
  <c r="O58" i="18" l="1"/>
  <c r="Q58" i="18" s="1"/>
  <c r="N58" i="18"/>
  <c r="J59" i="18" s="1"/>
  <c r="L59" i="18" s="1"/>
  <c r="P59" i="18" l="1"/>
  <c r="M59" i="18"/>
  <c r="O59" i="18" l="1"/>
  <c r="Q59" i="18" s="1"/>
  <c r="N59" i="18"/>
  <c r="J60" i="18" s="1"/>
  <c r="L60" i="18" s="1"/>
  <c r="P60" i="18" l="1"/>
  <c r="M60" i="18"/>
  <c r="N60" i="18" l="1"/>
  <c r="J61" i="18" s="1"/>
  <c r="L61" i="18" s="1"/>
  <c r="O60" i="18"/>
  <c r="Q60" i="18" s="1"/>
  <c r="P61" i="18" l="1"/>
  <c r="M61" i="18"/>
  <c r="N61" i="18" l="1"/>
  <c r="J62" i="18" s="1"/>
  <c r="L62" i="18" s="1"/>
  <c r="O61" i="18"/>
  <c r="Q61" i="18" s="1"/>
  <c r="P62" i="18" l="1"/>
  <c r="M62" i="18"/>
  <c r="N62" i="18" l="1"/>
  <c r="J63" i="18" s="1"/>
  <c r="L63" i="18" s="1"/>
  <c r="O62" i="18"/>
  <c r="Q62" i="18" s="1"/>
  <c r="M63" i="18" l="1"/>
  <c r="P63" i="18"/>
  <c r="O63" i="18" l="1"/>
  <c r="Q63" i="18" s="1"/>
  <c r="N63" i="18"/>
  <c r="J64" i="18" s="1"/>
  <c r="L64" i="18" s="1"/>
  <c r="P64" i="18" l="1"/>
  <c r="M64" i="18"/>
  <c r="O64" i="18" l="1"/>
  <c r="Q64" i="18" s="1"/>
  <c r="N64" i="18"/>
  <c r="J65" i="18" s="1"/>
  <c r="L65" i="18" s="1"/>
  <c r="M65" i="18" l="1"/>
  <c r="P65" i="18"/>
  <c r="O65" i="18" l="1"/>
  <c r="Q65" i="18" s="1"/>
  <c r="N65" i="18"/>
  <c r="J66" i="18" s="1"/>
  <c r="L66" i="18" s="1"/>
  <c r="P66" i="18" l="1"/>
  <c r="M66" i="18"/>
  <c r="O66" i="18" l="1"/>
  <c r="Q66" i="18" s="1"/>
  <c r="N66" i="18"/>
  <c r="J67" i="18" s="1"/>
  <c r="L67" i="18" s="1"/>
  <c r="M67" i="18" l="1"/>
  <c r="P67" i="18"/>
  <c r="O67" i="18" l="1"/>
  <c r="Q67" i="18" s="1"/>
  <c r="N67" i="18"/>
  <c r="J68" i="18" s="1"/>
  <c r="L68" i="18" s="1"/>
  <c r="P68" i="18" l="1"/>
  <c r="M68" i="18"/>
  <c r="O68" i="18" l="1"/>
  <c r="Q68" i="18" s="1"/>
  <c r="N68" i="18"/>
  <c r="J69" i="18" s="1"/>
  <c r="L69" i="18" s="1"/>
  <c r="M69" i="18" l="1"/>
  <c r="P69" i="18"/>
  <c r="O69" i="18" l="1"/>
  <c r="Q69" i="18" s="1"/>
  <c r="N69" i="18"/>
  <c r="J70" i="18" s="1"/>
  <c r="L70" i="18" s="1"/>
  <c r="P70" i="18" l="1"/>
  <c r="M70" i="18"/>
  <c r="O70" i="18" l="1"/>
  <c r="Q70" i="18" s="1"/>
  <c r="N70" i="18"/>
  <c r="J71" i="18" s="1"/>
  <c r="L71" i="18" s="1"/>
  <c r="M71" i="18" l="1"/>
  <c r="P71" i="18"/>
  <c r="O71" i="18" l="1"/>
  <c r="Q71" i="18" s="1"/>
  <c r="N71" i="18"/>
  <c r="J72" i="18" s="1"/>
  <c r="L72" i="18" s="1"/>
  <c r="P72" i="18" l="1"/>
  <c r="M72" i="18"/>
  <c r="O72" i="18" l="1"/>
  <c r="Q72" i="18" s="1"/>
  <c r="N72" i="18"/>
  <c r="J73" i="18" s="1"/>
  <c r="L73" i="18" s="1"/>
  <c r="M73" i="18" l="1"/>
  <c r="P73" i="18"/>
  <c r="O73" i="18" l="1"/>
  <c r="Q73" i="18" s="1"/>
  <c r="N73" i="18"/>
  <c r="J74" i="18" s="1"/>
  <c r="L74" i="18" s="1"/>
  <c r="P74" i="18" l="1"/>
  <c r="M74" i="18"/>
  <c r="O74" i="18" l="1"/>
  <c r="Q74" i="18" s="1"/>
  <c r="N74" i="18"/>
  <c r="J75" i="18" s="1"/>
  <c r="L75" i="18" s="1"/>
  <c r="M75" i="18" l="1"/>
  <c r="P75" i="18"/>
  <c r="O75" i="18" l="1"/>
  <c r="Q75" i="18" s="1"/>
  <c r="N75" i="18"/>
  <c r="J76" i="18" s="1"/>
  <c r="L76" i="18" s="1"/>
  <c r="P76" i="18" l="1"/>
  <c r="M76" i="18"/>
  <c r="O76" i="18" l="1"/>
  <c r="Q76" i="18" s="1"/>
  <c r="N76" i="18"/>
  <c r="J77" i="18" s="1"/>
  <c r="L77" i="18" s="1"/>
  <c r="M77" i="18" l="1"/>
  <c r="P77" i="18"/>
  <c r="O77" i="18" l="1"/>
  <c r="Q77" i="18" s="1"/>
  <c r="N77" i="18"/>
  <c r="J78" i="18" s="1"/>
  <c r="L78" i="18" s="1"/>
  <c r="P78" i="18" l="1"/>
  <c r="M78" i="18"/>
  <c r="O78" i="18" l="1"/>
  <c r="Q78" i="18" s="1"/>
  <c r="N78" i="18"/>
  <c r="J79" i="18" s="1"/>
  <c r="L79" i="18" s="1"/>
  <c r="M79" i="18" l="1"/>
  <c r="P79" i="18"/>
  <c r="O79" i="18" l="1"/>
  <c r="Q79" i="18" s="1"/>
  <c r="N79" i="18"/>
  <c r="J80" i="18" s="1"/>
  <c r="L80" i="18" s="1"/>
  <c r="P80" i="18" l="1"/>
  <c r="M80" i="18"/>
  <c r="O80" i="18" l="1"/>
  <c r="Q80" i="18" s="1"/>
  <c r="N80" i="18"/>
  <c r="J81" i="18" s="1"/>
  <c r="L81" i="18" s="1"/>
  <c r="M81" i="18" l="1"/>
  <c r="P81" i="18"/>
  <c r="O81" i="18" l="1"/>
  <c r="Q81" i="18" s="1"/>
  <c r="N81" i="18"/>
  <c r="J82" i="18" s="1"/>
  <c r="L82" i="18" s="1"/>
  <c r="P82" i="18" l="1"/>
  <c r="M82" i="18"/>
  <c r="O82" i="18" l="1"/>
  <c r="Q82" i="18" s="1"/>
  <c r="N82" i="18"/>
  <c r="J83" i="18" s="1"/>
  <c r="L83" i="18" s="1"/>
  <c r="M83" i="18" l="1"/>
  <c r="P83" i="18"/>
  <c r="O83" i="18" l="1"/>
  <c r="Q83" i="18" s="1"/>
  <c r="N83" i="18"/>
  <c r="J84" i="18" s="1"/>
  <c r="L84" i="18" s="1"/>
  <c r="P84" i="18" l="1"/>
  <c r="M84" i="18"/>
  <c r="O84" i="18" l="1"/>
  <c r="Q84" i="18" s="1"/>
  <c r="N84" i="18"/>
  <c r="J85" i="18" s="1"/>
  <c r="L85" i="18" s="1"/>
  <c r="M85" i="18" l="1"/>
  <c r="P85" i="18"/>
  <c r="O85" i="18" l="1"/>
  <c r="Q85" i="18" s="1"/>
  <c r="N85" i="18"/>
  <c r="J86" i="18" s="1"/>
  <c r="L86" i="18" s="1"/>
  <c r="P86" i="18" l="1"/>
  <c r="M86" i="18"/>
  <c r="O86" i="18" l="1"/>
  <c r="Q86" i="18" s="1"/>
  <c r="N86" i="18"/>
  <c r="J87" i="18" s="1"/>
  <c r="L87" i="18" s="1"/>
  <c r="M87" i="18" l="1"/>
  <c r="P87" i="18"/>
  <c r="O87" i="18" l="1"/>
  <c r="Q87" i="18" s="1"/>
  <c r="N87" i="18"/>
  <c r="J88" i="18" s="1"/>
  <c r="L88" i="18" s="1"/>
  <c r="P88" i="18" l="1"/>
  <c r="M88" i="18"/>
  <c r="O88" i="18" l="1"/>
  <c r="Q88" i="18" s="1"/>
  <c r="N88" i="18"/>
  <c r="J89" i="18" s="1"/>
  <c r="L89" i="18" s="1"/>
  <c r="M89" i="18" l="1"/>
  <c r="P89" i="18"/>
  <c r="O89" i="18" l="1"/>
  <c r="Q89" i="18" s="1"/>
  <c r="N89" i="18"/>
  <c r="J90" i="18" s="1"/>
  <c r="L90" i="18" s="1"/>
  <c r="P90" i="18" l="1"/>
  <c r="M90" i="18"/>
  <c r="O90" i="18" l="1"/>
  <c r="Q90" i="18" s="1"/>
  <c r="N90" i="18"/>
  <c r="J91" i="18" s="1"/>
  <c r="L91" i="18" s="1"/>
  <c r="M91" i="18" l="1"/>
  <c r="P91" i="18"/>
  <c r="O91" i="18" l="1"/>
  <c r="Q91" i="18" s="1"/>
  <c r="N91" i="18"/>
  <c r="J92" i="18" s="1"/>
  <c r="L92" i="18" s="1"/>
  <c r="P92" i="18" l="1"/>
  <c r="M92" i="18"/>
  <c r="O92" i="18" l="1"/>
  <c r="Q92" i="18" s="1"/>
  <c r="N92" i="18"/>
  <c r="J93" i="18" s="1"/>
  <c r="L93" i="18" s="1"/>
  <c r="M93" i="18" l="1"/>
  <c r="P93" i="18"/>
  <c r="O93" i="18" l="1"/>
  <c r="Q93" i="18" s="1"/>
  <c r="N93" i="18"/>
  <c r="J94" i="18" s="1"/>
  <c r="L94" i="18" s="1"/>
  <c r="P94" i="18" l="1"/>
  <c r="M94" i="18"/>
  <c r="O94" i="18" l="1"/>
  <c r="Q94" i="18" s="1"/>
  <c r="N94" i="18"/>
  <c r="J95" i="18" s="1"/>
  <c r="L95" i="18" s="1"/>
  <c r="M95" i="18" l="1"/>
  <c r="P95" i="18"/>
  <c r="O95" i="18" l="1"/>
  <c r="Q95" i="18" s="1"/>
  <c r="N95" i="18"/>
  <c r="J96" i="18" s="1"/>
  <c r="L96" i="18" s="1"/>
  <c r="P96" i="18" l="1"/>
  <c r="M96" i="18"/>
  <c r="O96" i="18" l="1"/>
  <c r="Q96" i="18" s="1"/>
  <c r="N96" i="18"/>
  <c r="J97" i="18" s="1"/>
  <c r="L97" i="18" s="1"/>
  <c r="M97" i="18" l="1"/>
  <c r="P97" i="18"/>
  <c r="O97" i="18" l="1"/>
  <c r="Q97" i="18" s="1"/>
  <c r="N97" i="18"/>
  <c r="J98" i="18" s="1"/>
  <c r="L98" i="18" s="1"/>
  <c r="P98" i="18" l="1"/>
  <c r="M98" i="18"/>
  <c r="O98" i="18" l="1"/>
  <c r="Q98" i="18" s="1"/>
  <c r="N98" i="18"/>
  <c r="J99" i="18" s="1"/>
  <c r="L99" i="18" s="1"/>
  <c r="M99" i="18" l="1"/>
  <c r="P99" i="18"/>
  <c r="O99" i="18" l="1"/>
  <c r="Q99" i="18" s="1"/>
  <c r="N99" i="18"/>
  <c r="J100" i="18" s="1"/>
  <c r="L100" i="18" s="1"/>
  <c r="P100" i="18" l="1"/>
  <c r="M100" i="18"/>
  <c r="O100" i="18" l="1"/>
  <c r="Q100" i="18" s="1"/>
  <c r="N100" i="18"/>
  <c r="J101" i="18" s="1"/>
  <c r="L101" i="18" s="1"/>
  <c r="M101" i="18" l="1"/>
  <c r="P101" i="18"/>
  <c r="O101" i="18" l="1"/>
  <c r="Q101" i="18" s="1"/>
  <c r="N101" i="18"/>
  <c r="J102" i="18" s="1"/>
  <c r="L102" i="18" s="1"/>
  <c r="P102" i="18" l="1"/>
  <c r="M102" i="18"/>
  <c r="O102" i="18" l="1"/>
  <c r="Q102" i="18" s="1"/>
  <c r="N102" i="18"/>
  <c r="J103" i="18" s="1"/>
  <c r="L103" i="18" s="1"/>
  <c r="M103" i="18" l="1"/>
  <c r="P103" i="18"/>
  <c r="O103" i="18" l="1"/>
  <c r="Q103" i="18" s="1"/>
  <c r="N103" i="18"/>
  <c r="J104" i="18" s="1"/>
  <c r="L104" i="18" s="1"/>
  <c r="P104" i="18" l="1"/>
  <c r="M104" i="18"/>
  <c r="O104" i="18" l="1"/>
  <c r="Q104" i="18" s="1"/>
  <c r="N104" i="18"/>
  <c r="J105" i="18" s="1"/>
  <c r="L105" i="18" s="1"/>
  <c r="P105" i="18" l="1"/>
  <c r="M105" i="18"/>
  <c r="O105" i="18" l="1"/>
  <c r="Q105" i="18" s="1"/>
  <c r="N105" i="18"/>
  <c r="J106" i="18" s="1"/>
  <c r="L106" i="18" s="1"/>
  <c r="P106" i="18" l="1"/>
  <c r="M106" i="18"/>
  <c r="O106" i="18" l="1"/>
  <c r="Q106" i="18" s="1"/>
  <c r="N106" i="18"/>
  <c r="J107" i="18" s="1"/>
  <c r="L107" i="18" s="1"/>
  <c r="P107" i="18" l="1"/>
  <c r="M107" i="18"/>
  <c r="O107" i="18" l="1"/>
  <c r="Q107" i="18" s="1"/>
  <c r="N107" i="18"/>
  <c r="J108" i="18" s="1"/>
  <c r="L108" i="18" s="1"/>
  <c r="P108" i="18" l="1"/>
  <c r="M108" i="18"/>
  <c r="O108" i="18" l="1"/>
  <c r="Q108" i="18" s="1"/>
  <c r="N108" i="18"/>
  <c r="J109" i="18" s="1"/>
  <c r="L109" i="18" s="1"/>
  <c r="P109" i="18" l="1"/>
  <c r="M109" i="18"/>
  <c r="O109" i="18" l="1"/>
  <c r="Q109" i="18" s="1"/>
  <c r="N109" i="18"/>
  <c r="J110" i="18" s="1"/>
  <c r="L110" i="18" s="1"/>
  <c r="P110" i="18" l="1"/>
  <c r="M110" i="18"/>
  <c r="O110" i="18" l="1"/>
  <c r="Q110" i="18" s="1"/>
  <c r="N110" i="18"/>
  <c r="J111" i="18" s="1"/>
  <c r="L111" i="18" s="1"/>
  <c r="P111" i="18" l="1"/>
  <c r="M111" i="18"/>
  <c r="O111" i="18" l="1"/>
  <c r="Q111" i="18" s="1"/>
  <c r="N111" i="18"/>
  <c r="J112" i="18" s="1"/>
  <c r="L112" i="18" s="1"/>
  <c r="P112" i="18" l="1"/>
  <c r="M112" i="18"/>
  <c r="N112" i="18" l="1"/>
  <c r="J113" i="18" s="1"/>
  <c r="L113" i="18" s="1"/>
  <c r="O112" i="18"/>
  <c r="Q112" i="18" s="1"/>
  <c r="P113" i="18" l="1"/>
  <c r="M113" i="18"/>
  <c r="O113" i="18" l="1"/>
  <c r="Q113" i="18" s="1"/>
  <c r="N113" i="18"/>
  <c r="J114" i="18" s="1"/>
  <c r="L114" i="18" s="1"/>
  <c r="P114" i="18" l="1"/>
  <c r="M114" i="18"/>
  <c r="N114" i="18" l="1"/>
  <c r="J115" i="18" s="1"/>
  <c r="L115" i="18" s="1"/>
  <c r="O114" i="18"/>
  <c r="Q114" i="18" s="1"/>
  <c r="P115" i="18" l="1"/>
  <c r="M115" i="18"/>
  <c r="O115" i="18" l="1"/>
  <c r="Q115" i="18" s="1"/>
  <c r="N115" i="18"/>
  <c r="J116" i="18" s="1"/>
  <c r="L116" i="18" s="1"/>
  <c r="P116" i="18" l="1"/>
  <c r="M116" i="18"/>
  <c r="O116" i="18" l="1"/>
  <c r="Q116" i="18" s="1"/>
  <c r="N116" i="18"/>
  <c r="J117" i="18" s="1"/>
  <c r="L117" i="18" s="1"/>
  <c r="P117" i="18" l="1"/>
  <c r="M117" i="18"/>
  <c r="O117" i="18" l="1"/>
  <c r="Q117" i="18" s="1"/>
  <c r="N117" i="18"/>
  <c r="J118" i="18" s="1"/>
  <c r="L118" i="18" s="1"/>
  <c r="P118" i="18" l="1"/>
  <c r="M118" i="18"/>
  <c r="O118" i="18" l="1"/>
  <c r="Q118" i="18" s="1"/>
  <c r="N118" i="18"/>
  <c r="J119" i="18" s="1"/>
  <c r="L119" i="18" s="1"/>
  <c r="P119" i="18" l="1"/>
  <c r="M119" i="18"/>
  <c r="O119" i="18" l="1"/>
  <c r="Q119" i="18" s="1"/>
  <c r="N119" i="18"/>
  <c r="J120" i="18" s="1"/>
  <c r="L120" i="18" s="1"/>
  <c r="P120" i="18" l="1"/>
  <c r="M120" i="18"/>
  <c r="N120" i="18" l="1"/>
  <c r="J121" i="18" s="1"/>
  <c r="L121" i="18" s="1"/>
  <c r="O120" i="18"/>
  <c r="Q120" i="18" s="1"/>
  <c r="P121" i="18" l="1"/>
  <c r="M121" i="18"/>
  <c r="O121" i="18" l="1"/>
  <c r="Q121" i="18" s="1"/>
  <c r="N121" i="18"/>
  <c r="J122" i="18" s="1"/>
  <c r="L122" i="18" s="1"/>
  <c r="P122" i="18" l="1"/>
  <c r="M122" i="18"/>
  <c r="O122" i="18" l="1"/>
  <c r="Q122" i="18" s="1"/>
  <c r="N122" i="18"/>
  <c r="J123" i="18" s="1"/>
  <c r="L123" i="18" s="1"/>
  <c r="P123" i="18" l="1"/>
  <c r="M123" i="18"/>
  <c r="O123" i="18" l="1"/>
  <c r="Q123" i="18" s="1"/>
  <c r="N123" i="18"/>
  <c r="J124" i="18" s="1"/>
  <c r="L124" i="18" s="1"/>
  <c r="P124" i="18" l="1"/>
  <c r="M124" i="18"/>
  <c r="N124" i="18" l="1"/>
  <c r="J125" i="18" s="1"/>
  <c r="L125" i="18" s="1"/>
  <c r="O124" i="18"/>
  <c r="Q124" i="18" s="1"/>
  <c r="P125" i="18" l="1"/>
  <c r="M125" i="18"/>
  <c r="O125" i="18" l="1"/>
  <c r="Q125" i="18" s="1"/>
  <c r="N125" i="18"/>
  <c r="J126" i="18" s="1"/>
  <c r="L126" i="18" s="1"/>
  <c r="P126" i="18" l="1"/>
  <c r="M126" i="18"/>
  <c r="O126" i="18" l="1"/>
  <c r="Q126" i="18" s="1"/>
  <c r="N126" i="18"/>
  <c r="J127" i="18" s="1"/>
  <c r="L127" i="18" s="1"/>
  <c r="P127" i="18" l="1"/>
  <c r="M127" i="18"/>
  <c r="O127" i="18" l="1"/>
  <c r="Q127" i="18" s="1"/>
  <c r="N127" i="18"/>
  <c r="J128" i="18" s="1"/>
  <c r="L128" i="18" s="1"/>
  <c r="P128" i="18" l="1"/>
  <c r="M128" i="18"/>
  <c r="N128" i="18" l="1"/>
  <c r="J129" i="18" s="1"/>
  <c r="L129" i="18" s="1"/>
  <c r="O128" i="18"/>
  <c r="Q128" i="18" s="1"/>
  <c r="P129" i="18" l="1"/>
  <c r="M129" i="18"/>
  <c r="O129" i="18" l="1"/>
  <c r="Q129" i="18" s="1"/>
  <c r="N129" i="18"/>
  <c r="J130" i="18" s="1"/>
  <c r="L130" i="18" s="1"/>
  <c r="P130" i="18" l="1"/>
  <c r="M130" i="18"/>
  <c r="N130" i="18" l="1"/>
  <c r="J131" i="18" s="1"/>
  <c r="L131" i="18" s="1"/>
  <c r="O130" i="18"/>
  <c r="Q130" i="18" s="1"/>
  <c r="P131" i="18" l="1"/>
  <c r="M131" i="18"/>
  <c r="O131" i="18" l="1"/>
  <c r="Q131" i="18" s="1"/>
  <c r="N131" i="18"/>
  <c r="J132" i="18" s="1"/>
  <c r="L132" i="18" s="1"/>
  <c r="P132" i="18" l="1"/>
  <c r="M132" i="18"/>
  <c r="O132" i="18" l="1"/>
  <c r="Q132" i="18" s="1"/>
  <c r="N132" i="18"/>
  <c r="J133" i="18" s="1"/>
  <c r="L133" i="18" s="1"/>
  <c r="P133" i="18" l="1"/>
  <c r="M133" i="18"/>
  <c r="O133" i="18" l="1"/>
  <c r="Q133" i="18" s="1"/>
  <c r="N133" i="18"/>
  <c r="J134" i="18" s="1"/>
  <c r="L134" i="18" s="1"/>
  <c r="P134" i="18" l="1"/>
  <c r="M134" i="18"/>
  <c r="O134" i="18" l="1"/>
  <c r="Q134" i="18" s="1"/>
  <c r="N134" i="18"/>
  <c r="J135" i="18" s="1"/>
  <c r="L135" i="18" s="1"/>
  <c r="P135" i="18" l="1"/>
  <c r="M135" i="18"/>
  <c r="O135" i="18" l="1"/>
  <c r="Q135" i="18" s="1"/>
  <c r="N135" i="18"/>
  <c r="J136" i="18" s="1"/>
  <c r="L136" i="18" s="1"/>
  <c r="P136" i="18" l="1"/>
  <c r="M136" i="18"/>
  <c r="N136" i="18" l="1"/>
  <c r="J137" i="18" s="1"/>
  <c r="L137" i="18" s="1"/>
  <c r="O136" i="18"/>
  <c r="Q136" i="18" s="1"/>
  <c r="P137" i="18" l="1"/>
  <c r="M137" i="18"/>
  <c r="O137" i="18" l="1"/>
  <c r="Q137" i="18" s="1"/>
  <c r="N137" i="18"/>
  <c r="J138" i="18" s="1"/>
  <c r="L138" i="18" s="1"/>
  <c r="P138" i="18" l="1"/>
  <c r="M138" i="18"/>
  <c r="N138" i="18" l="1"/>
  <c r="J139" i="18" s="1"/>
  <c r="L139" i="18" s="1"/>
  <c r="O138" i="18"/>
  <c r="Q138" i="18" s="1"/>
  <c r="P139" i="18" l="1"/>
  <c r="M139" i="18"/>
  <c r="O139" i="18" l="1"/>
  <c r="Q139" i="18" s="1"/>
  <c r="N139" i="18"/>
  <c r="J140" i="18" s="1"/>
  <c r="L140" i="18" s="1"/>
  <c r="P140" i="18" l="1"/>
  <c r="M140" i="18"/>
  <c r="O140" i="18" l="1"/>
  <c r="Q140" i="18" s="1"/>
  <c r="N140" i="18"/>
  <c r="J141" i="18" s="1"/>
  <c r="L141" i="18" s="1"/>
  <c r="P141" i="18" l="1"/>
  <c r="M141" i="18"/>
  <c r="O141" i="18" l="1"/>
  <c r="Q141" i="18" s="1"/>
  <c r="N141" i="18"/>
  <c r="J142" i="18" s="1"/>
  <c r="L142" i="18" s="1"/>
  <c r="P142" i="18" l="1"/>
  <c r="M142" i="18"/>
  <c r="O142" i="18" l="1"/>
  <c r="Q142" i="18" s="1"/>
  <c r="N142" i="18"/>
  <c r="J143" i="18" s="1"/>
  <c r="L143" i="18" s="1"/>
  <c r="P143" i="18" l="1"/>
  <c r="M143" i="18"/>
  <c r="O143" i="18" l="1"/>
  <c r="Q143" i="18" s="1"/>
  <c r="N143" i="18"/>
  <c r="J144" i="18" s="1"/>
  <c r="L144" i="18" s="1"/>
  <c r="P144" i="18" l="1"/>
  <c r="M144" i="18"/>
  <c r="N144" i="18" l="1"/>
  <c r="J145" i="18" s="1"/>
  <c r="L145" i="18" s="1"/>
  <c r="O144" i="18"/>
  <c r="Q144" i="18" s="1"/>
  <c r="P145" i="18" l="1"/>
  <c r="M145" i="18"/>
  <c r="O145" i="18" l="1"/>
  <c r="Q145" i="18" s="1"/>
  <c r="N145" i="18"/>
  <c r="J146" i="18" s="1"/>
  <c r="L146" i="18" s="1"/>
  <c r="P146" i="18" l="1"/>
  <c r="M146" i="18"/>
  <c r="N146" i="18" l="1"/>
  <c r="J147" i="18" s="1"/>
  <c r="L147" i="18" s="1"/>
  <c r="O146" i="18"/>
  <c r="Q146" i="18" s="1"/>
  <c r="P147" i="18" l="1"/>
  <c r="M147" i="18"/>
  <c r="O147" i="18" l="1"/>
  <c r="Q147" i="18" s="1"/>
  <c r="N147" i="18"/>
  <c r="J148" i="18" s="1"/>
  <c r="L148" i="18" s="1"/>
  <c r="P148" i="18" l="1"/>
  <c r="M148" i="18"/>
  <c r="N148" i="18" l="1"/>
  <c r="J149" i="18" s="1"/>
  <c r="L149" i="18" s="1"/>
  <c r="O148" i="18"/>
  <c r="Q148" i="18" s="1"/>
  <c r="P149" i="18" l="1"/>
  <c r="M149" i="18"/>
  <c r="O149" i="18" l="1"/>
  <c r="Q149" i="18" s="1"/>
  <c r="N149" i="18"/>
  <c r="J150" i="18" s="1"/>
  <c r="L150" i="18" s="1"/>
  <c r="P150" i="18" l="1"/>
  <c r="M150" i="18"/>
  <c r="O150" i="18" l="1"/>
  <c r="Q150" i="18" s="1"/>
  <c r="N150" i="18"/>
  <c r="J151" i="18" s="1"/>
  <c r="L151" i="18" s="1"/>
  <c r="P151" i="18" l="1"/>
  <c r="M151" i="18"/>
  <c r="O151" i="18" l="1"/>
  <c r="Q151" i="18" s="1"/>
  <c r="N151" i="18"/>
  <c r="J152" i="18" s="1"/>
  <c r="L152" i="18" s="1"/>
  <c r="P152" i="18" l="1"/>
  <c r="M152" i="18"/>
  <c r="N152" i="18" l="1"/>
  <c r="J153" i="18" s="1"/>
  <c r="L153" i="18" s="1"/>
  <c r="O152" i="18"/>
  <c r="Q152" i="18" s="1"/>
  <c r="P153" i="18" l="1"/>
  <c r="M153" i="18"/>
  <c r="O153" i="18" l="1"/>
  <c r="Q153" i="18" s="1"/>
  <c r="N153" i="18"/>
  <c r="J154" i="18" s="1"/>
  <c r="L154" i="18" s="1"/>
  <c r="P154" i="18" l="1"/>
  <c r="M154" i="18"/>
  <c r="O154" i="18" l="1"/>
  <c r="Q154" i="18" s="1"/>
  <c r="N154" i="18"/>
  <c r="J155" i="18" s="1"/>
  <c r="L155" i="18" s="1"/>
  <c r="P155" i="18" l="1"/>
  <c r="M155" i="18"/>
  <c r="O155" i="18" l="1"/>
  <c r="Q155" i="18" s="1"/>
  <c r="N155" i="18"/>
  <c r="J156" i="18" s="1"/>
  <c r="L156" i="18" s="1"/>
  <c r="P156" i="18" l="1"/>
  <c r="M156" i="18"/>
  <c r="O156" i="18" l="1"/>
  <c r="Q156" i="18" s="1"/>
  <c r="N156" i="18"/>
  <c r="J157" i="18" s="1"/>
  <c r="L157" i="18" s="1"/>
  <c r="P157" i="18" l="1"/>
  <c r="M157" i="18"/>
  <c r="O157" i="18" l="1"/>
  <c r="Q157" i="18" s="1"/>
  <c r="N157" i="18"/>
  <c r="J158" i="18" s="1"/>
  <c r="L158" i="18" s="1"/>
  <c r="P158" i="18" l="1"/>
  <c r="M158" i="18"/>
  <c r="O158" i="18" l="1"/>
  <c r="Q158" i="18" s="1"/>
  <c r="N158" i="18"/>
  <c r="J159" i="18" s="1"/>
  <c r="L159" i="18" s="1"/>
  <c r="P159" i="18" l="1"/>
  <c r="M159" i="18"/>
  <c r="O159" i="18" l="1"/>
  <c r="Q159" i="18" s="1"/>
  <c r="N159" i="18"/>
  <c r="J160" i="18" s="1"/>
  <c r="L160" i="18" s="1"/>
  <c r="P160" i="18" l="1"/>
  <c r="M160" i="18"/>
  <c r="O160" i="18" l="1"/>
  <c r="Q160" i="18" s="1"/>
  <c r="N160" i="18"/>
  <c r="J161" i="18" s="1"/>
  <c r="L161" i="18" s="1"/>
  <c r="P161" i="18" l="1"/>
  <c r="M161" i="18"/>
  <c r="O161" i="18" l="1"/>
  <c r="Q161" i="18" s="1"/>
  <c r="N161" i="18"/>
  <c r="J162" i="18" s="1"/>
  <c r="L162" i="18" s="1"/>
  <c r="P162" i="18" l="1"/>
  <c r="M162" i="18"/>
  <c r="O162" i="18" l="1"/>
  <c r="Q162" i="18" s="1"/>
  <c r="N162" i="18"/>
  <c r="J163" i="18" s="1"/>
  <c r="L163" i="18" s="1"/>
  <c r="P163" i="18" l="1"/>
  <c r="M163" i="18"/>
  <c r="O163" i="18" l="1"/>
  <c r="Q163" i="18" s="1"/>
  <c r="N163" i="18"/>
  <c r="J164" i="18" s="1"/>
  <c r="L164" i="18" s="1"/>
  <c r="P164" i="18" l="1"/>
  <c r="M164" i="18"/>
  <c r="O164" i="18" l="1"/>
  <c r="Q164" i="18" s="1"/>
  <c r="N164" i="18"/>
  <c r="J165" i="18" s="1"/>
  <c r="L165" i="18" s="1"/>
  <c r="P165" i="18" l="1"/>
  <c r="M165" i="18"/>
  <c r="O165" i="18" l="1"/>
  <c r="Q165" i="18" s="1"/>
  <c r="N165" i="18"/>
  <c r="J166" i="18" s="1"/>
  <c r="L166" i="18" s="1"/>
  <c r="P166" i="18" l="1"/>
  <c r="M166" i="18"/>
  <c r="O166" i="18" l="1"/>
  <c r="Q166" i="18" s="1"/>
  <c r="N166" i="18"/>
  <c r="J167" i="18" s="1"/>
  <c r="L167" i="18" s="1"/>
  <c r="P167" i="18" l="1"/>
  <c r="M167" i="18"/>
  <c r="O167" i="18" l="1"/>
  <c r="Q167" i="18" s="1"/>
  <c r="N167" i="18"/>
  <c r="J168" i="18" s="1"/>
  <c r="L168" i="18" s="1"/>
  <c r="P168" i="18" l="1"/>
  <c r="M168" i="18"/>
  <c r="O168" i="18" l="1"/>
  <c r="Q168" i="18" s="1"/>
  <c r="N168" i="18"/>
  <c r="J169" i="18" s="1"/>
  <c r="L169" i="18" s="1"/>
  <c r="P169" i="18" l="1"/>
  <c r="M169" i="18"/>
  <c r="O169" i="18" l="1"/>
  <c r="Q169" i="18" s="1"/>
  <c r="N169" i="18"/>
  <c r="J170" i="18" s="1"/>
  <c r="L170" i="18" s="1"/>
  <c r="P170" i="18" l="1"/>
  <c r="M170" i="18"/>
  <c r="N170" i="18" l="1"/>
  <c r="J171" i="18" s="1"/>
  <c r="L171" i="18" s="1"/>
  <c r="O170" i="18"/>
  <c r="Q170" i="18" s="1"/>
  <c r="P171" i="18" l="1"/>
  <c r="M171" i="18"/>
  <c r="O171" i="18" l="1"/>
  <c r="Q171" i="18" s="1"/>
  <c r="N171" i="18"/>
  <c r="J172" i="18" s="1"/>
  <c r="L172" i="18" s="1"/>
  <c r="P172" i="18" l="1"/>
  <c r="M172" i="18"/>
  <c r="O172" i="18" l="1"/>
  <c r="Q172" i="18" s="1"/>
  <c r="N172" i="18"/>
  <c r="J173" i="18" s="1"/>
  <c r="L173" i="18" s="1"/>
  <c r="P173" i="18" l="1"/>
  <c r="M173" i="18"/>
  <c r="O173" i="18" l="1"/>
  <c r="Q173" i="18" s="1"/>
  <c r="N173" i="18"/>
  <c r="J174" i="18" s="1"/>
  <c r="L174" i="18" s="1"/>
  <c r="P174" i="18" l="1"/>
  <c r="M174" i="18"/>
  <c r="O174" i="18" l="1"/>
  <c r="Q174" i="18" s="1"/>
  <c r="N174" i="18"/>
  <c r="J175" i="18" s="1"/>
  <c r="L175" i="18" s="1"/>
  <c r="P175" i="18" l="1"/>
  <c r="M175" i="18"/>
  <c r="O175" i="18" l="1"/>
  <c r="Q175" i="18" s="1"/>
  <c r="N175" i="18"/>
  <c r="J176" i="18" s="1"/>
  <c r="L176" i="18" s="1"/>
  <c r="P176" i="18" l="1"/>
  <c r="M176" i="18"/>
  <c r="O176" i="18" l="1"/>
  <c r="Q176" i="18" s="1"/>
  <c r="N176" i="18"/>
  <c r="J177" i="18" s="1"/>
  <c r="L177" i="18" s="1"/>
  <c r="P177" i="18" l="1"/>
  <c r="M177" i="18"/>
  <c r="O177" i="18" l="1"/>
  <c r="Q177" i="18" s="1"/>
  <c r="N177" i="18"/>
  <c r="J178" i="18" s="1"/>
  <c r="L178" i="18" s="1"/>
  <c r="P178" i="18" l="1"/>
  <c r="M178" i="18"/>
  <c r="O178" i="18" l="1"/>
  <c r="Q178" i="18" s="1"/>
  <c r="N178" i="18"/>
  <c r="J179" i="18" s="1"/>
  <c r="L179" i="18" s="1"/>
  <c r="P179" i="18" l="1"/>
  <c r="M179" i="18"/>
  <c r="O179" i="18" l="1"/>
  <c r="Q179" i="18" s="1"/>
  <c r="N179" i="18"/>
  <c r="J180" i="18" s="1"/>
  <c r="L180" i="18" s="1"/>
  <c r="P180" i="18" l="1"/>
  <c r="M180" i="18"/>
  <c r="O180" i="18" l="1"/>
  <c r="Q180" i="18" s="1"/>
  <c r="N180" i="18"/>
  <c r="J181" i="18" s="1"/>
  <c r="L181" i="18" s="1"/>
  <c r="P181" i="18" l="1"/>
  <c r="M181" i="18"/>
  <c r="O181" i="18" l="1"/>
  <c r="Q181" i="18" s="1"/>
  <c r="N181" i="18"/>
  <c r="J182" i="18" s="1"/>
  <c r="L182" i="18" s="1"/>
  <c r="P182" i="18" l="1"/>
  <c r="M182" i="18"/>
  <c r="O182" i="18" l="1"/>
  <c r="Q182" i="18" s="1"/>
  <c r="N182" i="18"/>
  <c r="J183" i="18" s="1"/>
  <c r="L183" i="18" s="1"/>
  <c r="P183" i="18" l="1"/>
  <c r="M183" i="18"/>
  <c r="O183" i="18" l="1"/>
  <c r="Q183" i="18" s="1"/>
  <c r="N183" i="18"/>
  <c r="J184" i="18" s="1"/>
  <c r="L184" i="18" s="1"/>
  <c r="P184" i="18" l="1"/>
  <c r="M184" i="18"/>
  <c r="O184" i="18" l="1"/>
  <c r="Q184" i="18" s="1"/>
  <c r="N184" i="18"/>
  <c r="J185" i="18" s="1"/>
  <c r="L185" i="18" s="1"/>
  <c r="P185" i="18" l="1"/>
  <c r="M185" i="18"/>
  <c r="O185" i="18" l="1"/>
  <c r="Q185" i="18" s="1"/>
  <c r="N185" i="18"/>
  <c r="J186" i="18" s="1"/>
  <c r="L186" i="18" s="1"/>
  <c r="P186" i="18" l="1"/>
  <c r="M186" i="18"/>
  <c r="N186" i="18" l="1"/>
  <c r="J187" i="18" s="1"/>
  <c r="L187" i="18" s="1"/>
  <c r="O186" i="18"/>
  <c r="Q186" i="18" s="1"/>
  <c r="P187" i="18" l="1"/>
  <c r="M187" i="18"/>
  <c r="O187" i="18" l="1"/>
  <c r="Q187" i="18" s="1"/>
  <c r="N187" i="18"/>
  <c r="J188" i="18" s="1"/>
  <c r="L188" i="18" s="1"/>
  <c r="P188" i="18" l="1"/>
  <c r="M188" i="18"/>
  <c r="O188" i="18" l="1"/>
  <c r="Q188" i="18" s="1"/>
  <c r="N188" i="18"/>
  <c r="J189" i="18" s="1"/>
  <c r="L189" i="18" s="1"/>
  <c r="P189" i="18" l="1"/>
  <c r="M189" i="18"/>
  <c r="O189" i="18" l="1"/>
  <c r="Q189" i="18" s="1"/>
  <c r="N189" i="18"/>
  <c r="J190" i="18" s="1"/>
  <c r="L190" i="18" s="1"/>
  <c r="P190" i="18" l="1"/>
  <c r="M190" i="18"/>
  <c r="O190" i="18" l="1"/>
  <c r="Q190" i="18" s="1"/>
  <c r="N190" i="18"/>
  <c r="J191" i="18" s="1"/>
  <c r="L191" i="18" s="1"/>
  <c r="P191" i="18" l="1"/>
  <c r="M191" i="18"/>
  <c r="O191" i="18" l="1"/>
  <c r="Q191" i="18" s="1"/>
  <c r="N191" i="18"/>
  <c r="J192" i="18" s="1"/>
  <c r="L192" i="18" s="1"/>
  <c r="P192" i="18" l="1"/>
  <c r="M192" i="18"/>
  <c r="O192" i="18" l="1"/>
  <c r="Q192" i="18" s="1"/>
  <c r="N192" i="18"/>
  <c r="J193" i="18" s="1"/>
  <c r="L193" i="18" s="1"/>
  <c r="P193" i="18" l="1"/>
  <c r="M193" i="18"/>
  <c r="O193" i="18" l="1"/>
  <c r="Q193" i="18" s="1"/>
  <c r="N193" i="18"/>
  <c r="J194" i="18" s="1"/>
  <c r="L194" i="18" s="1"/>
  <c r="P194" i="18" l="1"/>
  <c r="M194" i="18"/>
  <c r="O194" i="18" l="1"/>
  <c r="Q194" i="18" s="1"/>
  <c r="N194" i="18"/>
  <c r="J195" i="18" s="1"/>
  <c r="L195" i="18" s="1"/>
  <c r="P195" i="18" l="1"/>
  <c r="M195" i="18"/>
  <c r="O195" i="18" l="1"/>
  <c r="Q195" i="18" s="1"/>
  <c r="N195" i="18"/>
  <c r="J196" i="18" s="1"/>
  <c r="L196" i="18" s="1"/>
  <c r="P196" i="18" l="1"/>
  <c r="M196" i="18"/>
  <c r="O196" i="18" l="1"/>
  <c r="Q196" i="18" s="1"/>
  <c r="N196" i="18"/>
  <c r="J197" i="18" s="1"/>
  <c r="L197" i="18" s="1"/>
  <c r="P197" i="18" l="1"/>
  <c r="M197" i="18"/>
  <c r="O197" i="18" l="1"/>
  <c r="Q197" i="18" s="1"/>
  <c r="N197" i="18"/>
  <c r="J198" i="18" s="1"/>
  <c r="L198" i="18" s="1"/>
  <c r="P198" i="18" l="1"/>
  <c r="M198" i="18"/>
  <c r="O198" i="18" l="1"/>
  <c r="Q198" i="18" s="1"/>
  <c r="N198" i="18"/>
  <c r="J199" i="18" s="1"/>
  <c r="L199" i="18" s="1"/>
  <c r="P199" i="18" l="1"/>
  <c r="M199" i="18"/>
  <c r="O199" i="18" l="1"/>
  <c r="Q199" i="18" s="1"/>
  <c r="N199" i="18"/>
  <c r="J200" i="18" s="1"/>
  <c r="L200" i="18" s="1"/>
  <c r="P200" i="18" l="1"/>
  <c r="M200" i="18"/>
  <c r="O200" i="18" l="1"/>
  <c r="Q200" i="18" s="1"/>
  <c r="N200" i="18"/>
  <c r="J201" i="18" s="1"/>
  <c r="L201" i="18" s="1"/>
  <c r="P201" i="18" l="1"/>
  <c r="M201" i="18"/>
  <c r="O201" i="18" l="1"/>
  <c r="Q201" i="18" s="1"/>
  <c r="N201" i="18"/>
  <c r="J202" i="18" s="1"/>
  <c r="L202" i="18" s="1"/>
  <c r="P202" i="18" l="1"/>
  <c r="M202" i="18"/>
  <c r="N202" i="18" l="1"/>
  <c r="J203" i="18" s="1"/>
  <c r="L203" i="18" s="1"/>
  <c r="O202" i="18"/>
  <c r="Q202" i="18" s="1"/>
  <c r="P203" i="18" l="1"/>
  <c r="M203" i="18"/>
  <c r="O203" i="18" l="1"/>
  <c r="Q203" i="18" s="1"/>
  <c r="N203" i="18"/>
  <c r="J204" i="18" s="1"/>
  <c r="L204" i="18" s="1"/>
  <c r="P204" i="18" l="1"/>
  <c r="M204" i="18"/>
  <c r="O204" i="18" l="1"/>
  <c r="Q204" i="18" s="1"/>
  <c r="N204" i="18"/>
  <c r="J205" i="18" s="1"/>
  <c r="L205" i="18" s="1"/>
  <c r="P205" i="18" l="1"/>
  <c r="M205" i="18"/>
  <c r="O205" i="18" l="1"/>
  <c r="Q205" i="18" s="1"/>
  <c r="N205" i="18"/>
  <c r="J206" i="18" s="1"/>
  <c r="L206" i="18" s="1"/>
  <c r="P206" i="18" l="1"/>
  <c r="M206" i="18"/>
  <c r="O206" i="18" l="1"/>
  <c r="Q206" i="18" s="1"/>
  <c r="N206" i="18"/>
  <c r="J207" i="18" s="1"/>
  <c r="L207" i="18" s="1"/>
  <c r="P207" i="18" l="1"/>
  <c r="M207" i="18"/>
  <c r="O207" i="18" l="1"/>
  <c r="Q207" i="18" s="1"/>
  <c r="N207" i="18"/>
  <c r="J208" i="18" s="1"/>
  <c r="L208" i="18" s="1"/>
  <c r="P208" i="18" l="1"/>
  <c r="M208" i="18"/>
  <c r="O208" i="18" l="1"/>
  <c r="Q208" i="18" s="1"/>
  <c r="N208" i="18"/>
  <c r="J209" i="18" s="1"/>
  <c r="L209" i="18" s="1"/>
  <c r="P209" i="18" l="1"/>
  <c r="M209" i="18"/>
  <c r="O209" i="18" l="1"/>
  <c r="Q209" i="18" s="1"/>
  <c r="N209" i="18"/>
  <c r="J210" i="18" s="1"/>
  <c r="L210" i="18" s="1"/>
  <c r="P210" i="18" l="1"/>
  <c r="M210" i="18"/>
  <c r="O210" i="18" l="1"/>
  <c r="Q210" i="18" s="1"/>
  <c r="N210" i="18"/>
  <c r="J211" i="18" s="1"/>
  <c r="L211" i="18" s="1"/>
  <c r="P211" i="18" l="1"/>
  <c r="M211" i="18"/>
  <c r="O211" i="18" l="1"/>
  <c r="Q211" i="18" s="1"/>
  <c r="N211" i="18"/>
  <c r="J212" i="18" s="1"/>
  <c r="L212" i="18" s="1"/>
  <c r="P212" i="18" l="1"/>
  <c r="M212" i="18"/>
  <c r="O212" i="18" l="1"/>
  <c r="Q212" i="18" s="1"/>
  <c r="N212" i="18"/>
  <c r="J213" i="18" s="1"/>
  <c r="L213" i="18" s="1"/>
  <c r="P213" i="18" l="1"/>
  <c r="M213" i="18"/>
  <c r="O213" i="18" l="1"/>
  <c r="Q213" i="18" s="1"/>
  <c r="N213" i="18"/>
  <c r="J214" i="18" s="1"/>
  <c r="L214" i="18" s="1"/>
  <c r="P214" i="18" l="1"/>
  <c r="M214" i="18"/>
  <c r="N214" i="18" l="1"/>
  <c r="J215" i="18" s="1"/>
  <c r="L215" i="18" s="1"/>
  <c r="O214" i="18"/>
  <c r="Q214" i="18" s="1"/>
  <c r="P215" i="18" l="1"/>
  <c r="M215" i="18"/>
  <c r="O215" i="18" l="1"/>
  <c r="Q215" i="18" s="1"/>
  <c r="N215" i="18"/>
  <c r="J216" i="18" s="1"/>
  <c r="L216" i="18" s="1"/>
  <c r="P216" i="18" l="1"/>
  <c r="M216" i="18"/>
  <c r="O216" i="18" l="1"/>
  <c r="Q216" i="18" s="1"/>
  <c r="N216" i="18"/>
  <c r="J217" i="18" s="1"/>
  <c r="L217" i="18" s="1"/>
  <c r="P217" i="18" l="1"/>
  <c r="M217" i="18"/>
  <c r="O217" i="18" l="1"/>
  <c r="Q217" i="18" s="1"/>
  <c r="N217" i="18"/>
  <c r="J218" i="18" s="1"/>
  <c r="L218" i="18" s="1"/>
  <c r="P218" i="18" l="1"/>
  <c r="M218" i="18"/>
  <c r="O218" i="18" l="1"/>
  <c r="Q218" i="18" s="1"/>
  <c r="N218" i="18"/>
  <c r="J219" i="18" s="1"/>
  <c r="L219" i="18" s="1"/>
  <c r="P219" i="18" l="1"/>
  <c r="M219" i="18"/>
  <c r="O219" i="18" l="1"/>
  <c r="Q219" i="18" s="1"/>
  <c r="N219" i="18"/>
  <c r="J220" i="18" s="1"/>
  <c r="L220" i="18" s="1"/>
  <c r="P220" i="18" l="1"/>
  <c r="M220" i="18"/>
  <c r="O220" i="18" l="1"/>
  <c r="Q220" i="18" s="1"/>
  <c r="N220" i="18"/>
  <c r="J221" i="18" s="1"/>
  <c r="L221" i="18" s="1"/>
  <c r="P221" i="18" l="1"/>
  <c r="M221" i="18"/>
  <c r="O221" i="18" l="1"/>
  <c r="Q221" i="18" s="1"/>
  <c r="N221" i="18"/>
  <c r="J222" i="18" s="1"/>
  <c r="L222" i="18" s="1"/>
  <c r="P222" i="18" l="1"/>
  <c r="M222" i="18"/>
  <c r="N222" i="18" l="1"/>
  <c r="J223" i="18" s="1"/>
  <c r="L223" i="18" s="1"/>
  <c r="O222" i="18"/>
  <c r="Q222" i="18" s="1"/>
  <c r="P223" i="18" l="1"/>
  <c r="M223" i="18"/>
  <c r="O223" i="18" l="1"/>
  <c r="Q223" i="18" s="1"/>
  <c r="N223" i="18"/>
  <c r="J224" i="18" s="1"/>
  <c r="L224" i="18" s="1"/>
  <c r="P224" i="18" l="1"/>
  <c r="M224" i="18"/>
  <c r="O224" i="18" l="1"/>
  <c r="Q224" i="18" s="1"/>
  <c r="N224" i="18"/>
  <c r="J225" i="18" s="1"/>
  <c r="L225" i="18" s="1"/>
  <c r="P225" i="18" l="1"/>
  <c r="M225" i="18"/>
  <c r="O225" i="18" l="1"/>
  <c r="Q225" i="18" s="1"/>
  <c r="N225" i="18"/>
  <c r="J226" i="18" s="1"/>
  <c r="L226" i="18" s="1"/>
  <c r="P226" i="18" l="1"/>
  <c r="M226" i="18"/>
  <c r="O226" i="18" l="1"/>
  <c r="Q226" i="18" s="1"/>
  <c r="N226" i="18"/>
  <c r="J227" i="18" s="1"/>
  <c r="L227" i="18" s="1"/>
  <c r="P227" i="18" l="1"/>
  <c r="M227" i="18"/>
  <c r="O227" i="18" l="1"/>
  <c r="Q227" i="18" s="1"/>
  <c r="N227" i="18"/>
  <c r="J228" i="18" s="1"/>
  <c r="L228" i="18" s="1"/>
  <c r="P228" i="18" l="1"/>
  <c r="M228" i="18"/>
  <c r="O228" i="18" l="1"/>
  <c r="Q228" i="18" s="1"/>
  <c r="N228" i="18"/>
  <c r="J229" i="18" s="1"/>
  <c r="L229" i="18" s="1"/>
  <c r="P229" i="18" l="1"/>
  <c r="M229" i="18"/>
  <c r="O229" i="18" l="1"/>
  <c r="Q229" i="18" s="1"/>
  <c r="N229" i="18"/>
  <c r="J230" i="18" s="1"/>
  <c r="L230" i="18" s="1"/>
  <c r="P230" i="18" l="1"/>
  <c r="M230" i="18"/>
  <c r="N230" i="18" l="1"/>
  <c r="J231" i="18" s="1"/>
  <c r="L231" i="18" s="1"/>
  <c r="O230" i="18"/>
  <c r="Q230" i="18" s="1"/>
  <c r="P231" i="18" l="1"/>
  <c r="M231" i="18"/>
  <c r="O231" i="18" l="1"/>
  <c r="Q231" i="18" s="1"/>
  <c r="N231" i="18"/>
  <c r="J232" i="18" s="1"/>
  <c r="L232" i="18" s="1"/>
  <c r="P232" i="18" l="1"/>
  <c r="M232" i="18"/>
  <c r="O232" i="18" l="1"/>
  <c r="Q232" i="18" s="1"/>
  <c r="N232" i="18"/>
  <c r="J233" i="18" s="1"/>
  <c r="L233" i="18" s="1"/>
  <c r="P233" i="18" l="1"/>
  <c r="M233" i="18"/>
  <c r="O233" i="18" l="1"/>
  <c r="Q233" i="18" s="1"/>
  <c r="N233" i="18"/>
  <c r="J234" i="18" s="1"/>
  <c r="L234" i="18" s="1"/>
  <c r="M234" i="18" l="1"/>
  <c r="P234" i="18"/>
  <c r="O234" i="18" l="1"/>
  <c r="Q234" i="18" s="1"/>
  <c r="N234" i="18"/>
  <c r="J235" i="18" s="1"/>
  <c r="L235" i="18" s="1"/>
  <c r="M235" i="18" l="1"/>
  <c r="P235" i="18"/>
  <c r="N235" i="18" l="1"/>
  <c r="J236" i="18" s="1"/>
  <c r="L236" i="18" s="1"/>
  <c r="O235" i="18"/>
  <c r="Q235" i="18" s="1"/>
  <c r="M236" i="18" l="1"/>
  <c r="P236" i="18"/>
  <c r="N236" i="18" l="1"/>
  <c r="J237" i="18" s="1"/>
  <c r="L237" i="18" s="1"/>
  <c r="O236" i="18"/>
  <c r="Q236" i="18" s="1"/>
  <c r="M237" i="18" l="1"/>
  <c r="P237" i="18"/>
  <c r="O237" i="18" l="1"/>
  <c r="Q237" i="18" s="1"/>
  <c r="N237" i="18"/>
  <c r="J238" i="18" s="1"/>
  <c r="L238" i="18" s="1"/>
  <c r="M238" i="18" l="1"/>
  <c r="P238" i="18"/>
  <c r="O238" i="18" l="1"/>
  <c r="Q238" i="18" s="1"/>
  <c r="N238" i="18"/>
  <c r="J239" i="18" s="1"/>
  <c r="L239" i="18" s="1"/>
  <c r="M239" i="18" l="1"/>
  <c r="P239" i="18"/>
  <c r="O239" i="18" l="1"/>
  <c r="Q239" i="18" s="1"/>
  <c r="N239" i="18"/>
  <c r="J240" i="18" s="1"/>
  <c r="L240" i="18" s="1"/>
  <c r="M240" i="18" l="1"/>
  <c r="P240" i="18"/>
  <c r="N240" i="18" l="1"/>
  <c r="J241" i="18" s="1"/>
  <c r="L241" i="18" s="1"/>
  <c r="O240" i="18"/>
  <c r="Q240" i="18" s="1"/>
  <c r="M241" i="18" l="1"/>
  <c r="P241" i="18"/>
  <c r="O241" i="18" l="1"/>
  <c r="Q241" i="18" s="1"/>
  <c r="N241" i="18"/>
  <c r="J242" i="18" s="1"/>
  <c r="L242" i="18" s="1"/>
  <c r="M242" i="18" l="1"/>
  <c r="P242" i="18"/>
  <c r="O242" i="18" l="1"/>
  <c r="Q242" i="18" s="1"/>
  <c r="N242" i="18"/>
  <c r="J243" i="18" s="1"/>
  <c r="L243" i="18" s="1"/>
  <c r="M243" i="18" l="1"/>
  <c r="P243" i="18"/>
  <c r="O243" i="18" l="1"/>
  <c r="Q243" i="18" s="1"/>
  <c r="N243" i="18"/>
  <c r="J244" i="18" s="1"/>
  <c r="L244" i="18" s="1"/>
  <c r="M244" i="18" l="1"/>
  <c r="P244" i="18"/>
  <c r="N244" i="18" l="1"/>
  <c r="J245" i="18" s="1"/>
  <c r="L245" i="18" s="1"/>
  <c r="O244" i="18"/>
  <c r="Q244" i="18" s="1"/>
  <c r="M245" i="18" l="1"/>
  <c r="P245" i="18"/>
  <c r="O245" i="18" l="1"/>
  <c r="Q245" i="18" s="1"/>
  <c r="N245" i="18"/>
  <c r="J246" i="18" s="1"/>
  <c r="L246" i="18" s="1"/>
  <c r="M246" i="18" l="1"/>
  <c r="P246" i="18"/>
  <c r="O246" i="18" l="1"/>
  <c r="Q246" i="18" s="1"/>
  <c r="N246" i="18"/>
  <c r="J247" i="18" s="1"/>
  <c r="L247" i="18" s="1"/>
  <c r="M247" i="18" l="1"/>
  <c r="P247" i="18"/>
  <c r="O247" i="18" l="1"/>
  <c r="Q247" i="18" s="1"/>
  <c r="N247" i="18"/>
  <c r="J248" i="18" s="1"/>
  <c r="L248" i="18" s="1"/>
  <c r="M248" i="18" l="1"/>
  <c r="P248" i="18"/>
  <c r="N248" i="18" l="1"/>
  <c r="J249" i="18" s="1"/>
  <c r="L249" i="18" s="1"/>
  <c r="O248" i="18"/>
  <c r="Q248" i="18" s="1"/>
  <c r="M249" i="18" l="1"/>
  <c r="P249" i="18"/>
  <c r="O249" i="18" l="1"/>
  <c r="Q249" i="18" s="1"/>
  <c r="N249" i="18"/>
  <c r="J250" i="18" s="1"/>
  <c r="L250" i="18" s="1"/>
  <c r="M250" i="18" l="1"/>
  <c r="P250" i="18"/>
  <c r="O250" i="18" l="1"/>
  <c r="Q250" i="18" s="1"/>
  <c r="N250" i="18"/>
  <c r="J251" i="18" s="1"/>
  <c r="L251" i="18" s="1"/>
  <c r="M251" i="18" l="1"/>
  <c r="P251" i="18"/>
  <c r="O251" i="18" l="1"/>
  <c r="Q251" i="18" s="1"/>
  <c r="N251" i="18"/>
  <c r="J252" i="18" s="1"/>
  <c r="L252" i="18" s="1"/>
  <c r="M252" i="18" l="1"/>
  <c r="P252" i="18"/>
  <c r="N252" i="18" l="1"/>
  <c r="J253" i="18" s="1"/>
  <c r="L253" i="18" s="1"/>
  <c r="O252" i="18"/>
  <c r="Q252" i="18" s="1"/>
  <c r="M253" i="18" l="1"/>
  <c r="P253" i="18"/>
  <c r="O253" i="18" l="1"/>
  <c r="Q253" i="18" s="1"/>
  <c r="N253" i="18"/>
  <c r="J254" i="18" s="1"/>
  <c r="L254" i="18" s="1"/>
  <c r="M254" i="18" l="1"/>
  <c r="P254" i="18"/>
  <c r="O254" i="18" l="1"/>
  <c r="Q254" i="18" s="1"/>
  <c r="N254" i="18"/>
  <c r="J255" i="18" s="1"/>
  <c r="L255" i="18" s="1"/>
  <c r="M255" i="18" l="1"/>
  <c r="P255" i="18"/>
  <c r="O255" i="18" l="1"/>
  <c r="Q255" i="18" s="1"/>
  <c r="N255" i="18"/>
  <c r="J256" i="18" s="1"/>
  <c r="L256" i="18" s="1"/>
  <c r="M256" i="18" l="1"/>
  <c r="P256" i="18"/>
  <c r="N256" i="18" l="1"/>
  <c r="J257" i="18" s="1"/>
  <c r="L257" i="18" s="1"/>
  <c r="O256" i="18"/>
  <c r="Q256" i="18" s="1"/>
  <c r="M257" i="18" l="1"/>
  <c r="P257" i="18"/>
  <c r="O257" i="18" l="1"/>
  <c r="Q257" i="18" s="1"/>
  <c r="N257" i="18"/>
  <c r="J258" i="18" s="1"/>
  <c r="L258" i="18" s="1"/>
  <c r="M258" i="18" l="1"/>
  <c r="P258" i="18"/>
  <c r="O258" i="18" l="1"/>
  <c r="Q258" i="18" s="1"/>
  <c r="N258" i="18"/>
  <c r="J259" i="18" s="1"/>
  <c r="L259" i="18" s="1"/>
  <c r="M259" i="18" l="1"/>
  <c r="P259" i="18"/>
  <c r="O259" i="18" l="1"/>
  <c r="Q259" i="18" s="1"/>
  <c r="N259" i="18"/>
  <c r="J260" i="18" s="1"/>
  <c r="L260" i="18" s="1"/>
  <c r="M260" i="18" l="1"/>
  <c r="P260" i="18"/>
  <c r="N260" i="18" l="1"/>
  <c r="J261" i="18" s="1"/>
  <c r="L261" i="18" s="1"/>
  <c r="O260" i="18"/>
  <c r="Q260" i="18" s="1"/>
  <c r="M261" i="18" l="1"/>
  <c r="P261" i="18"/>
  <c r="O261" i="18" l="1"/>
  <c r="Q261" i="18" s="1"/>
  <c r="N261" i="18"/>
  <c r="J262" i="18" s="1"/>
  <c r="L262" i="18" s="1"/>
  <c r="M262" i="18" l="1"/>
  <c r="P262" i="18"/>
  <c r="O262" i="18" l="1"/>
  <c r="Q262" i="18" s="1"/>
  <c r="N262" i="18"/>
  <c r="J263" i="18" s="1"/>
  <c r="L263" i="18" s="1"/>
  <c r="M263" i="18" l="1"/>
  <c r="P263" i="18"/>
  <c r="O263" i="18" l="1"/>
  <c r="Q263" i="18" s="1"/>
  <c r="N263" i="18"/>
  <c r="J264" i="18" s="1"/>
  <c r="L264" i="18" s="1"/>
  <c r="M264" i="18" l="1"/>
  <c r="P264" i="18"/>
  <c r="N264" i="18" l="1"/>
  <c r="J265" i="18" s="1"/>
  <c r="L265" i="18" s="1"/>
  <c r="O264" i="18"/>
  <c r="Q264" i="18" s="1"/>
  <c r="M265" i="18" l="1"/>
  <c r="P265" i="18"/>
  <c r="O265" i="18" l="1"/>
  <c r="Q265" i="18" s="1"/>
  <c r="N265" i="18"/>
  <c r="J266" i="18" s="1"/>
  <c r="L266" i="18" s="1"/>
  <c r="M266" i="18" l="1"/>
  <c r="P266" i="18"/>
  <c r="O266" i="18" l="1"/>
  <c r="Q266" i="18" s="1"/>
  <c r="N266" i="18"/>
  <c r="J267" i="18" s="1"/>
  <c r="L267" i="18" s="1"/>
  <c r="M267" i="18" l="1"/>
  <c r="P267" i="18"/>
  <c r="O267" i="18" l="1"/>
  <c r="Q267" i="18" s="1"/>
  <c r="N267" i="18"/>
  <c r="J268" i="18" s="1"/>
  <c r="L268" i="18" s="1"/>
  <c r="M268" i="18" l="1"/>
  <c r="P268" i="18"/>
  <c r="N268" i="18" l="1"/>
  <c r="J269" i="18" s="1"/>
  <c r="L269" i="18" s="1"/>
  <c r="O268" i="18"/>
  <c r="Q268" i="18" s="1"/>
  <c r="P269" i="18" l="1"/>
  <c r="M269" i="18"/>
  <c r="N269" i="18" l="1"/>
  <c r="J270" i="18" s="1"/>
  <c r="L270" i="18" s="1"/>
  <c r="O269" i="18"/>
  <c r="Q269" i="18" s="1"/>
  <c r="M270" i="18" l="1"/>
  <c r="P270" i="18"/>
  <c r="N270" i="18" l="1"/>
  <c r="J271" i="18" s="1"/>
  <c r="L271" i="18" s="1"/>
  <c r="O270" i="18"/>
  <c r="Q270" i="18" s="1"/>
  <c r="P271" i="18" l="1"/>
  <c r="M271" i="18"/>
  <c r="N271" i="18" l="1"/>
  <c r="J272" i="18" s="1"/>
  <c r="L272" i="18" s="1"/>
  <c r="O271" i="18"/>
  <c r="Q271" i="18" s="1"/>
  <c r="M272" i="18" l="1"/>
  <c r="P272" i="18"/>
  <c r="N272" i="18" l="1"/>
  <c r="J273" i="18" s="1"/>
  <c r="L273" i="18" s="1"/>
  <c r="O272" i="18"/>
  <c r="Q272" i="18" s="1"/>
  <c r="P273" i="18" l="1"/>
  <c r="M273" i="18"/>
  <c r="N273" i="18" l="1"/>
  <c r="J274" i="18" s="1"/>
  <c r="L274" i="18" s="1"/>
  <c r="O273" i="18"/>
  <c r="Q273" i="18" s="1"/>
  <c r="M274" i="18" l="1"/>
  <c r="P274" i="18"/>
  <c r="N274" i="18" l="1"/>
  <c r="J275" i="18" s="1"/>
  <c r="L275" i="18" s="1"/>
  <c r="O274" i="18"/>
  <c r="Q274" i="18" s="1"/>
  <c r="P275" i="18" l="1"/>
  <c r="M275" i="18"/>
  <c r="N275" i="18" l="1"/>
  <c r="J276" i="18" s="1"/>
  <c r="L276" i="18" s="1"/>
  <c r="O275" i="18"/>
  <c r="Q275" i="18" s="1"/>
  <c r="M276" i="18" l="1"/>
  <c r="P276" i="18"/>
  <c r="N276" i="18" l="1"/>
  <c r="J277" i="18" s="1"/>
  <c r="L277" i="18" s="1"/>
  <c r="O276" i="18"/>
  <c r="Q276" i="18" s="1"/>
  <c r="P277" i="18" l="1"/>
  <c r="M277" i="18"/>
  <c r="N277" i="18" l="1"/>
  <c r="J278" i="18" s="1"/>
  <c r="L278" i="18" s="1"/>
  <c r="O277" i="18"/>
  <c r="Q277" i="18" s="1"/>
  <c r="M278" i="18" l="1"/>
  <c r="P278" i="18"/>
  <c r="N278" i="18" l="1"/>
  <c r="J279" i="18" s="1"/>
  <c r="L279" i="18" s="1"/>
  <c r="O278" i="18"/>
  <c r="Q278" i="18" s="1"/>
  <c r="P279" i="18" l="1"/>
  <c r="M279" i="18"/>
  <c r="N279" i="18" l="1"/>
  <c r="J280" i="18" s="1"/>
  <c r="L280" i="18" s="1"/>
  <c r="O279" i="18"/>
  <c r="Q279" i="18" s="1"/>
  <c r="M280" i="18" l="1"/>
  <c r="P280" i="18"/>
  <c r="N280" i="18" l="1"/>
  <c r="J281" i="18" s="1"/>
  <c r="L281" i="18" s="1"/>
  <c r="O280" i="18"/>
  <c r="Q280" i="18" s="1"/>
  <c r="P281" i="18" l="1"/>
  <c r="M281" i="18"/>
  <c r="N281" i="18" l="1"/>
  <c r="J282" i="18" s="1"/>
  <c r="L282" i="18" s="1"/>
  <c r="O281" i="18"/>
  <c r="Q281" i="18" s="1"/>
  <c r="M282" i="18" l="1"/>
  <c r="P282" i="18"/>
  <c r="N282" i="18" l="1"/>
  <c r="J283" i="18" s="1"/>
  <c r="L283" i="18" s="1"/>
  <c r="O282" i="18"/>
  <c r="Q282" i="18" s="1"/>
  <c r="P283" i="18" l="1"/>
  <c r="M283" i="18"/>
  <c r="N283" i="18" l="1"/>
  <c r="J284" i="18" s="1"/>
  <c r="L284" i="18" s="1"/>
  <c r="O283" i="18"/>
  <c r="Q283" i="18" s="1"/>
  <c r="M284" i="18" l="1"/>
  <c r="P284" i="18"/>
  <c r="N284" i="18" l="1"/>
  <c r="J285" i="18" s="1"/>
  <c r="L285" i="18" s="1"/>
  <c r="O284" i="18"/>
  <c r="Q284" i="18" s="1"/>
  <c r="P285" i="18" l="1"/>
  <c r="M285" i="18"/>
  <c r="N285" i="18" l="1"/>
  <c r="J286" i="18" s="1"/>
  <c r="L286" i="18" s="1"/>
  <c r="O285" i="18"/>
  <c r="Q285" i="18" s="1"/>
  <c r="M286" i="18" l="1"/>
  <c r="P286" i="18"/>
  <c r="N286" i="18" l="1"/>
  <c r="J287" i="18" s="1"/>
  <c r="L287" i="18" s="1"/>
  <c r="O286" i="18"/>
  <c r="Q286" i="18" s="1"/>
  <c r="P287" i="18" l="1"/>
  <c r="M287" i="18"/>
  <c r="N287" i="18" l="1"/>
  <c r="J288" i="18" s="1"/>
  <c r="L288" i="18" s="1"/>
  <c r="O287" i="18"/>
  <c r="Q287" i="18" s="1"/>
  <c r="M288" i="18" l="1"/>
  <c r="P288" i="18"/>
  <c r="N288" i="18" l="1"/>
  <c r="J289" i="18" s="1"/>
  <c r="L289" i="18" s="1"/>
  <c r="O288" i="18"/>
  <c r="Q288" i="18" s="1"/>
  <c r="P289" i="18" l="1"/>
  <c r="M289" i="18"/>
  <c r="N289" i="18" l="1"/>
  <c r="J290" i="18" s="1"/>
  <c r="L290" i="18" s="1"/>
  <c r="O289" i="18"/>
  <c r="Q289" i="18" s="1"/>
  <c r="M290" i="18" l="1"/>
  <c r="P290" i="18"/>
  <c r="N290" i="18" l="1"/>
  <c r="J291" i="18" s="1"/>
  <c r="L291" i="18" s="1"/>
  <c r="O290" i="18"/>
  <c r="Q290" i="18" s="1"/>
  <c r="P291" i="18" l="1"/>
  <c r="M291" i="18"/>
  <c r="N291" i="18" l="1"/>
  <c r="J292" i="18" s="1"/>
  <c r="L292" i="18" s="1"/>
  <c r="O291" i="18"/>
  <c r="Q291" i="18" s="1"/>
  <c r="M292" i="18" l="1"/>
  <c r="P292" i="18"/>
  <c r="N292" i="18" l="1"/>
  <c r="J293" i="18" s="1"/>
  <c r="L293" i="18" s="1"/>
  <c r="O292" i="18"/>
  <c r="Q292" i="18" s="1"/>
  <c r="P293" i="18" l="1"/>
  <c r="M293" i="18"/>
  <c r="N293" i="18" l="1"/>
  <c r="J294" i="18" s="1"/>
  <c r="L294" i="18" s="1"/>
  <c r="O293" i="18"/>
  <c r="Q293" i="18" s="1"/>
  <c r="M294" i="18" l="1"/>
  <c r="P294" i="18"/>
  <c r="N294" i="18" l="1"/>
  <c r="J295" i="18" s="1"/>
  <c r="L295" i="18" s="1"/>
  <c r="O294" i="18"/>
  <c r="Q294" i="18" s="1"/>
  <c r="P295" i="18" l="1"/>
  <c r="M295" i="18"/>
  <c r="N295" i="18" l="1"/>
  <c r="J296" i="18" s="1"/>
  <c r="L296" i="18" s="1"/>
  <c r="O295" i="18"/>
  <c r="Q295" i="18" s="1"/>
  <c r="M296" i="18" l="1"/>
  <c r="P296" i="18"/>
  <c r="N296" i="18" l="1"/>
  <c r="J297" i="18" s="1"/>
  <c r="L297" i="18" s="1"/>
  <c r="O296" i="18"/>
  <c r="Q296" i="18" s="1"/>
  <c r="P297" i="18" l="1"/>
  <c r="M297" i="18"/>
  <c r="N297" i="18" l="1"/>
  <c r="J298" i="18" s="1"/>
  <c r="L298" i="18" s="1"/>
  <c r="O297" i="18"/>
  <c r="Q297" i="18" s="1"/>
  <c r="M298" i="18" l="1"/>
  <c r="P298" i="18"/>
  <c r="N298" i="18" l="1"/>
  <c r="J299" i="18" s="1"/>
  <c r="L299" i="18" s="1"/>
  <c r="O298" i="18"/>
  <c r="Q298" i="18" s="1"/>
  <c r="P299" i="18" l="1"/>
  <c r="M299" i="18"/>
  <c r="N299" i="18" l="1"/>
  <c r="J300" i="18" s="1"/>
  <c r="L300" i="18" s="1"/>
  <c r="O299" i="18"/>
  <c r="Q299" i="18" s="1"/>
  <c r="M300" i="18" l="1"/>
  <c r="P300" i="18"/>
  <c r="N300" i="18" l="1"/>
  <c r="J301" i="18" s="1"/>
  <c r="L301" i="18" s="1"/>
  <c r="O300" i="18"/>
  <c r="Q300" i="18" s="1"/>
  <c r="M301" i="18" l="1"/>
  <c r="P301" i="18"/>
  <c r="O301" i="18" l="1"/>
  <c r="Q301" i="18" s="1"/>
  <c r="N301" i="18"/>
  <c r="J302" i="18" s="1"/>
  <c r="L302" i="18" s="1"/>
  <c r="M302" i="18" l="1"/>
  <c r="P302" i="18"/>
  <c r="O302" i="18" l="1"/>
  <c r="Q302" i="18" s="1"/>
  <c r="N302" i="18"/>
  <c r="J303" i="18" s="1"/>
  <c r="L303" i="18" s="1"/>
  <c r="M303" i="18" l="1"/>
  <c r="P303" i="18"/>
  <c r="O303" i="18" l="1"/>
  <c r="Q303" i="18" s="1"/>
  <c r="N303" i="18"/>
  <c r="J304" i="18" s="1"/>
  <c r="L304" i="18" s="1"/>
  <c r="M304" i="18" l="1"/>
  <c r="P304" i="18"/>
  <c r="O304" i="18" l="1"/>
  <c r="Q304" i="18" s="1"/>
  <c r="N304" i="18"/>
  <c r="J305" i="18" s="1"/>
  <c r="L305" i="18" s="1"/>
  <c r="M305" i="18" l="1"/>
  <c r="P305" i="18"/>
  <c r="O305" i="18" l="1"/>
  <c r="Q305" i="18" s="1"/>
  <c r="N305" i="18"/>
  <c r="J306" i="18" s="1"/>
  <c r="L306" i="18" s="1"/>
  <c r="M306" i="18" l="1"/>
  <c r="P306" i="18"/>
  <c r="O306" i="18" l="1"/>
  <c r="Q306" i="18" s="1"/>
  <c r="N306" i="18"/>
  <c r="J307" i="18" s="1"/>
  <c r="L307" i="18" s="1"/>
  <c r="M307" i="18" l="1"/>
  <c r="P307" i="18"/>
  <c r="O307" i="18" l="1"/>
  <c r="Q307" i="18" s="1"/>
  <c r="N307" i="18"/>
  <c r="J308" i="18" s="1"/>
  <c r="L308" i="18" s="1"/>
  <c r="M308" i="18" l="1"/>
  <c r="P308" i="18"/>
  <c r="O308" i="18" l="1"/>
  <c r="Q308" i="18" s="1"/>
  <c r="N308" i="18"/>
  <c r="J309" i="18" s="1"/>
  <c r="L309" i="18" s="1"/>
  <c r="M309" i="18" l="1"/>
  <c r="P309" i="18"/>
  <c r="O309" i="18" l="1"/>
  <c r="Q309" i="18" s="1"/>
  <c r="N309" i="18"/>
  <c r="J310" i="18" s="1"/>
  <c r="L310" i="18" s="1"/>
  <c r="M310" i="18" l="1"/>
  <c r="P310" i="18"/>
  <c r="O310" i="18" l="1"/>
  <c r="Q310" i="18" s="1"/>
  <c r="N310" i="18"/>
  <c r="J311" i="18" s="1"/>
  <c r="L311" i="18" s="1"/>
  <c r="M311" i="18" l="1"/>
  <c r="P311" i="18"/>
  <c r="O311" i="18" l="1"/>
  <c r="Q311" i="18" s="1"/>
  <c r="N311" i="18"/>
  <c r="J312" i="18" s="1"/>
  <c r="L312" i="18" s="1"/>
  <c r="M312" i="18" l="1"/>
  <c r="P312" i="18"/>
  <c r="O312" i="18" l="1"/>
  <c r="Q312" i="18" s="1"/>
  <c r="N312" i="18"/>
  <c r="J313" i="18" s="1"/>
  <c r="L313" i="18" s="1"/>
  <c r="M313" i="18" l="1"/>
  <c r="P313" i="18"/>
  <c r="O313" i="18" l="1"/>
  <c r="Q313" i="18" s="1"/>
  <c r="N313" i="18"/>
  <c r="J314" i="18" s="1"/>
  <c r="L314" i="18" s="1"/>
  <c r="M314" i="18" l="1"/>
  <c r="P314" i="18"/>
  <c r="O314" i="18" l="1"/>
  <c r="Q314" i="18" s="1"/>
  <c r="N314" i="18"/>
  <c r="J315" i="18" s="1"/>
  <c r="L315" i="18" s="1"/>
  <c r="M315" i="18" l="1"/>
  <c r="P315" i="18"/>
  <c r="O315" i="18" l="1"/>
  <c r="Q315" i="18" s="1"/>
  <c r="N315" i="18"/>
  <c r="J316" i="18" s="1"/>
  <c r="L316" i="18" s="1"/>
  <c r="M316" i="18" l="1"/>
  <c r="P316" i="18"/>
  <c r="O316" i="18" l="1"/>
  <c r="Q316" i="18" s="1"/>
  <c r="N316" i="18"/>
  <c r="J317" i="18" s="1"/>
  <c r="L317" i="18" s="1"/>
  <c r="M317" i="18" l="1"/>
  <c r="P317" i="18"/>
  <c r="O317" i="18" l="1"/>
  <c r="Q317" i="18" s="1"/>
  <c r="N317" i="18"/>
  <c r="J318" i="18" s="1"/>
  <c r="L318" i="18" s="1"/>
  <c r="M318" i="18" l="1"/>
  <c r="P318" i="18"/>
  <c r="O318" i="18" l="1"/>
  <c r="Q318" i="18" s="1"/>
  <c r="N318" i="18"/>
  <c r="J319" i="18" s="1"/>
  <c r="L319" i="18" s="1"/>
  <c r="M319" i="18" l="1"/>
  <c r="P319" i="18"/>
  <c r="O319" i="18" l="1"/>
  <c r="Q319" i="18" s="1"/>
  <c r="N319" i="18"/>
  <c r="J320" i="18" s="1"/>
  <c r="L320" i="18" s="1"/>
  <c r="M320" i="18" l="1"/>
  <c r="P320" i="18"/>
  <c r="O320" i="18" l="1"/>
  <c r="Q320" i="18" s="1"/>
  <c r="N320" i="18"/>
  <c r="J321" i="18" s="1"/>
  <c r="L321" i="18" s="1"/>
  <c r="M321" i="18" l="1"/>
  <c r="P321" i="18"/>
  <c r="O321" i="18" l="1"/>
  <c r="Q321" i="18" s="1"/>
  <c r="N321" i="18"/>
  <c r="J322" i="18" s="1"/>
  <c r="L322" i="18" s="1"/>
  <c r="M322" i="18" l="1"/>
  <c r="P322" i="18"/>
  <c r="O322" i="18" l="1"/>
  <c r="Q322" i="18" s="1"/>
  <c r="N322" i="18"/>
  <c r="J323" i="18" s="1"/>
  <c r="L323" i="18" s="1"/>
  <c r="M323" i="18" l="1"/>
  <c r="P323" i="18"/>
  <c r="O323" i="18" l="1"/>
  <c r="Q323" i="18" s="1"/>
  <c r="N323" i="18"/>
  <c r="J324" i="18" s="1"/>
  <c r="L324" i="18" s="1"/>
  <c r="M324" i="18" l="1"/>
  <c r="P324" i="18"/>
  <c r="O324" i="18" l="1"/>
  <c r="Q324" i="18" s="1"/>
  <c r="N324" i="18"/>
  <c r="J325" i="18" s="1"/>
  <c r="L325" i="18" s="1"/>
  <c r="M325" i="18" l="1"/>
  <c r="P325" i="18"/>
  <c r="O325" i="18" l="1"/>
  <c r="Q325" i="18" s="1"/>
  <c r="N325" i="18"/>
  <c r="J326" i="18" s="1"/>
  <c r="L326" i="18" s="1"/>
  <c r="M326" i="18" l="1"/>
  <c r="P326" i="18"/>
  <c r="O326" i="18" l="1"/>
  <c r="Q326" i="18" s="1"/>
  <c r="N326" i="18"/>
  <c r="J327" i="18" s="1"/>
  <c r="L327" i="18" s="1"/>
  <c r="M327" i="18" l="1"/>
  <c r="P327" i="18"/>
  <c r="O327" i="18" l="1"/>
  <c r="Q327" i="18" s="1"/>
  <c r="N327" i="18"/>
  <c r="J328" i="18" s="1"/>
  <c r="L328" i="18" s="1"/>
  <c r="M328" i="18" l="1"/>
  <c r="P328" i="18"/>
  <c r="O328" i="18" l="1"/>
  <c r="Q328" i="18" s="1"/>
  <c r="N328" i="18"/>
  <c r="J329" i="18" s="1"/>
  <c r="L329" i="18" s="1"/>
  <c r="M329" i="18" l="1"/>
  <c r="P329" i="18"/>
  <c r="O329" i="18" l="1"/>
  <c r="Q329" i="18" s="1"/>
  <c r="N329" i="18"/>
  <c r="J330" i="18" s="1"/>
  <c r="L330" i="18" s="1"/>
  <c r="M330" i="18" l="1"/>
  <c r="P330" i="18"/>
  <c r="O330" i="18" l="1"/>
  <c r="Q330" i="18" s="1"/>
  <c r="N330" i="18"/>
  <c r="J331" i="18" s="1"/>
  <c r="L331" i="18" s="1"/>
  <c r="P331" i="18" l="1"/>
  <c r="M331" i="18"/>
  <c r="O331" i="18" l="1"/>
  <c r="Q331" i="18" s="1"/>
  <c r="N331" i="18"/>
  <c r="J332" i="18" s="1"/>
  <c r="L332" i="18" s="1"/>
  <c r="M332" i="18" l="1"/>
  <c r="P332" i="18"/>
  <c r="O332" i="18" l="1"/>
  <c r="Q332" i="18" s="1"/>
  <c r="N332" i="18"/>
  <c r="J333" i="18" s="1"/>
  <c r="L333" i="18" s="1"/>
  <c r="M333" i="18" l="1"/>
  <c r="P333" i="18"/>
  <c r="O333" i="18" l="1"/>
  <c r="Q333" i="18" s="1"/>
  <c r="N333" i="18"/>
  <c r="J334" i="18" s="1"/>
  <c r="L334" i="18" s="1"/>
  <c r="M334" i="18" l="1"/>
  <c r="P334" i="18"/>
  <c r="O334" i="18" l="1"/>
  <c r="Q334" i="18" s="1"/>
  <c r="N334" i="18"/>
  <c r="J335" i="18" s="1"/>
  <c r="L335" i="18" s="1"/>
  <c r="M335" i="18" l="1"/>
  <c r="P335" i="18"/>
  <c r="O335" i="18" l="1"/>
  <c r="Q335" i="18" s="1"/>
  <c r="N335" i="18"/>
  <c r="J336" i="18" s="1"/>
  <c r="L336" i="18" s="1"/>
  <c r="M336" i="18" l="1"/>
  <c r="P336" i="18"/>
  <c r="O336" i="18" l="1"/>
  <c r="Q336" i="18" s="1"/>
  <c r="N336" i="18"/>
  <c r="J337" i="18" s="1"/>
  <c r="L337" i="18" s="1"/>
  <c r="M337" i="18" l="1"/>
  <c r="P337" i="18"/>
  <c r="O337" i="18" l="1"/>
  <c r="Q337" i="18" s="1"/>
  <c r="N337" i="18"/>
  <c r="J338" i="18" s="1"/>
  <c r="L338" i="18" s="1"/>
  <c r="M338" i="18" l="1"/>
  <c r="P338" i="18"/>
  <c r="O338" i="18" l="1"/>
  <c r="Q338" i="18" s="1"/>
  <c r="N338" i="18"/>
  <c r="J339" i="18" s="1"/>
  <c r="L339" i="18" s="1"/>
  <c r="M339" i="18" l="1"/>
  <c r="P339" i="18"/>
  <c r="O339" i="18" l="1"/>
  <c r="Q339" i="18" s="1"/>
  <c r="N339" i="18"/>
  <c r="J340" i="18" s="1"/>
  <c r="L340" i="18" s="1"/>
  <c r="M340" i="18" l="1"/>
  <c r="P340" i="18"/>
  <c r="O340" i="18" l="1"/>
  <c r="Q340" i="18" s="1"/>
  <c r="N340" i="18"/>
  <c r="J341" i="18" s="1"/>
  <c r="L341" i="18" s="1"/>
  <c r="M341" i="18" l="1"/>
  <c r="P341" i="18"/>
  <c r="O341" i="18" l="1"/>
  <c r="Q341" i="18" s="1"/>
  <c r="N341" i="18"/>
  <c r="J342" i="18" s="1"/>
  <c r="L342" i="18" s="1"/>
  <c r="M342" i="18" l="1"/>
  <c r="P342" i="18"/>
  <c r="O342" i="18" l="1"/>
  <c r="Q342" i="18" s="1"/>
  <c r="N342" i="18"/>
  <c r="J343" i="18" s="1"/>
  <c r="L343" i="18" s="1"/>
  <c r="M343" i="18" l="1"/>
  <c r="P343" i="18"/>
  <c r="O343" i="18" l="1"/>
  <c r="Q343" i="18" s="1"/>
  <c r="N343" i="18"/>
  <c r="J344" i="18" s="1"/>
  <c r="L344" i="18" s="1"/>
  <c r="M344" i="18" l="1"/>
  <c r="P344" i="18"/>
  <c r="O344" i="18" l="1"/>
  <c r="Q344" i="18" s="1"/>
  <c r="N344" i="18"/>
  <c r="J345" i="18" s="1"/>
  <c r="L345" i="18" s="1"/>
  <c r="M345" i="18" l="1"/>
  <c r="P345" i="18"/>
  <c r="O345" i="18" l="1"/>
  <c r="Q345" i="18" s="1"/>
  <c r="N345" i="18"/>
  <c r="J346" i="18" s="1"/>
  <c r="L346" i="18" s="1"/>
  <c r="M346" i="18" l="1"/>
  <c r="P346" i="18"/>
  <c r="O346" i="18" l="1"/>
  <c r="Q346" i="18" s="1"/>
  <c r="N346" i="18"/>
  <c r="J347" i="18" s="1"/>
  <c r="L347" i="18" s="1"/>
  <c r="M347" i="18" l="1"/>
  <c r="P347" i="18"/>
  <c r="O347" i="18" l="1"/>
  <c r="Q347" i="18" s="1"/>
  <c r="N347" i="18"/>
  <c r="J348" i="18" s="1"/>
  <c r="L348" i="18" s="1"/>
  <c r="M348" i="18" l="1"/>
  <c r="P348" i="18"/>
  <c r="O348" i="18" l="1"/>
  <c r="Q348" i="18" s="1"/>
  <c r="N348" i="18"/>
  <c r="J349" i="18" s="1"/>
  <c r="L349" i="18" s="1"/>
  <c r="M349" i="18" l="1"/>
  <c r="P349" i="18"/>
  <c r="O349" i="18" l="1"/>
  <c r="Q349" i="18" s="1"/>
  <c r="N349" i="18"/>
  <c r="J350" i="18" s="1"/>
  <c r="L350" i="18" s="1"/>
  <c r="M350" i="18" l="1"/>
  <c r="P350" i="18"/>
  <c r="O350" i="18" l="1"/>
  <c r="Q350" i="18" s="1"/>
  <c r="N350" i="18"/>
  <c r="J351" i="18" s="1"/>
  <c r="L351" i="18" s="1"/>
  <c r="M351" i="18" l="1"/>
  <c r="P351" i="18"/>
  <c r="O351" i="18" l="1"/>
  <c r="Q351" i="18" s="1"/>
  <c r="N351" i="18"/>
  <c r="J352" i="18" s="1"/>
  <c r="L352" i="18" s="1"/>
  <c r="M352" i="18" l="1"/>
  <c r="P352" i="18"/>
  <c r="O352" i="18" l="1"/>
  <c r="Q352" i="18" s="1"/>
  <c r="N352" i="18"/>
  <c r="J353" i="18" s="1"/>
  <c r="L353" i="18" s="1"/>
  <c r="M353" i="18" l="1"/>
  <c r="P353" i="18"/>
  <c r="O353" i="18" l="1"/>
  <c r="Q353" i="18" s="1"/>
  <c r="N353" i="18"/>
  <c r="J354" i="18" s="1"/>
  <c r="L354" i="18" s="1"/>
  <c r="M354" i="18" l="1"/>
  <c r="P354" i="18"/>
  <c r="O354" i="18" l="1"/>
  <c r="Q354" i="18" s="1"/>
  <c r="N354" i="18"/>
  <c r="J355" i="18" s="1"/>
  <c r="L355" i="18" s="1"/>
  <c r="M355" i="18" l="1"/>
  <c r="P355" i="18"/>
  <c r="O355" i="18" l="1"/>
  <c r="Q355" i="18" s="1"/>
  <c r="N355" i="18"/>
  <c r="J356" i="18" s="1"/>
  <c r="L356" i="18" s="1"/>
  <c r="M356" i="18" l="1"/>
  <c r="P356" i="18"/>
  <c r="O356" i="18" l="1"/>
  <c r="Q356" i="18" s="1"/>
  <c r="N356" i="18"/>
  <c r="J357" i="18" s="1"/>
  <c r="L357" i="18" s="1"/>
  <c r="M357" i="18" l="1"/>
  <c r="P357" i="18"/>
  <c r="O357" i="18" l="1"/>
  <c r="Q357" i="18" s="1"/>
  <c r="N357" i="18"/>
  <c r="J358" i="18" s="1"/>
  <c r="L358" i="18" s="1"/>
  <c r="M358" i="18" l="1"/>
  <c r="P358" i="18"/>
  <c r="O358" i="18" l="1"/>
  <c r="Q358" i="18" s="1"/>
  <c r="N358" i="18"/>
  <c r="J359" i="18" s="1"/>
  <c r="L359" i="18" s="1"/>
  <c r="M359" i="18" l="1"/>
  <c r="P359" i="18"/>
  <c r="O359" i="18" l="1"/>
  <c r="Q359" i="18" s="1"/>
  <c r="N359" i="18"/>
  <c r="J360" i="18" s="1"/>
  <c r="L360" i="18" s="1"/>
  <c r="M360" i="18" l="1"/>
  <c r="P360" i="18"/>
  <c r="O360" i="18" l="1"/>
  <c r="Q360" i="18" s="1"/>
  <c r="N360" i="18"/>
  <c r="J361" i="18" s="1"/>
  <c r="L361" i="18" s="1"/>
  <c r="M361" i="18" l="1"/>
  <c r="P361" i="18"/>
  <c r="O361" i="18" l="1"/>
  <c r="Q361" i="18" s="1"/>
  <c r="N361" i="18"/>
  <c r="J362" i="18" s="1"/>
  <c r="L362" i="18" s="1"/>
  <c r="M362" i="18" l="1"/>
  <c r="P362" i="18"/>
  <c r="O362" i="18" l="1"/>
  <c r="Q362" i="18" s="1"/>
  <c r="N362" i="18"/>
  <c r="J363" i="18" s="1"/>
  <c r="L363" i="18" s="1"/>
  <c r="M363" i="18" l="1"/>
  <c r="P363" i="18"/>
  <c r="O363" i="18" l="1"/>
  <c r="Q363" i="18" s="1"/>
  <c r="N363" i="18"/>
  <c r="J364" i="18" s="1"/>
  <c r="L364" i="18" s="1"/>
  <c r="M364" i="18" l="1"/>
  <c r="P364" i="18"/>
  <c r="O364" i="18" l="1"/>
  <c r="Q364" i="18" s="1"/>
  <c r="N364" i="18"/>
  <c r="J365" i="18" s="1"/>
  <c r="L365" i="18" s="1"/>
  <c r="M365" i="18" l="1"/>
  <c r="P365" i="18"/>
  <c r="O365" i="18" l="1"/>
  <c r="Q365" i="18" s="1"/>
  <c r="N365" i="18"/>
  <c r="J366" i="18" s="1"/>
  <c r="L366" i="18" s="1"/>
  <c r="M366" i="18" l="1"/>
  <c r="P366" i="18"/>
  <c r="O366" i="18" l="1"/>
  <c r="Q366" i="18" s="1"/>
  <c r="N366" i="18"/>
  <c r="J367" i="18" s="1"/>
  <c r="L367" i="18" s="1"/>
  <c r="M367" i="18" l="1"/>
  <c r="P367" i="18"/>
  <c r="O367" i="18" l="1"/>
  <c r="Q367" i="18" s="1"/>
  <c r="N367" i="18"/>
  <c r="J368" i="18" s="1"/>
  <c r="L368" i="18" s="1"/>
  <c r="M368" i="18" l="1"/>
  <c r="P368" i="18"/>
  <c r="O368" i="18" l="1"/>
  <c r="Q368" i="18" s="1"/>
  <c r="N368" i="18"/>
  <c r="J369" i="18" s="1"/>
  <c r="L369" i="18" s="1"/>
  <c r="M369" i="18" l="1"/>
  <c r="P369" i="18"/>
  <c r="O369" i="18" l="1"/>
  <c r="Q369" i="18" s="1"/>
  <c r="N369" i="18"/>
  <c r="J370" i="18" s="1"/>
  <c r="L370" i="18" s="1"/>
  <c r="M370" i="18" l="1"/>
  <c r="P370" i="18"/>
  <c r="O370" i="18" l="1"/>
  <c r="Q370" i="18" s="1"/>
  <c r="N370" i="18"/>
  <c r="J371" i="18" s="1"/>
  <c r="L371" i="18" s="1"/>
  <c r="M371" i="18" l="1"/>
  <c r="P371" i="18"/>
  <c r="O371" i="18" l="1"/>
  <c r="Q371" i="18" s="1"/>
  <c r="N371" i="18"/>
  <c r="J372" i="18" s="1"/>
  <c r="L372" i="18" s="1"/>
  <c r="M372" i="18" l="1"/>
  <c r="P372" i="18"/>
  <c r="O372" i="18" l="1"/>
  <c r="Q372" i="18" s="1"/>
  <c r="N372" i="18"/>
  <c r="J373" i="18" s="1"/>
  <c r="L373" i="18" s="1"/>
  <c r="M373" i="18" l="1"/>
  <c r="P373" i="18"/>
  <c r="O373" i="18" l="1"/>
  <c r="Q373" i="18" s="1"/>
  <c r="C7" i="18" s="1"/>
  <c r="S7" i="18" s="1"/>
  <c r="N373" i="18"/>
  <c r="B24" i="15" l="1"/>
  <c r="B23" i="15"/>
  <c r="B22" i="15"/>
  <c r="B21" i="15"/>
  <c r="F9" i="15"/>
  <c r="H3" i="15" a="1"/>
  <c r="I3" i="15" s="1"/>
  <c r="F6" i="15" s="1"/>
  <c r="F26" i="13"/>
  <c r="F25" i="13" s="1"/>
  <c r="B21" i="13"/>
  <c r="D14" i="13"/>
  <c r="D4" i="13" s="1"/>
  <c r="C7" i="13"/>
  <c r="D7" i="13" s="1"/>
  <c r="D17" i="13" s="1"/>
  <c r="D6" i="13"/>
  <c r="C3" i="13"/>
  <c r="H3" i="15" l="1"/>
  <c r="F7" i="15" s="1"/>
  <c r="F14" i="15" s="1"/>
  <c r="C15" i="13"/>
  <c r="B20" i="13"/>
  <c r="D3" i="13"/>
  <c r="D15" i="13" s="1"/>
  <c r="C14" i="13"/>
  <c r="C17" i="13" s="1"/>
  <c r="F8" i="15" l="1"/>
  <c r="F10" i="15" s="1"/>
  <c r="F11" i="15" s="1"/>
  <c r="F13" i="15"/>
  <c r="D16" i="13"/>
  <c r="D18" i="13" s="1"/>
  <c r="C16" i="13"/>
  <c r="C18" i="13" s="1"/>
  <c r="B20" i="15" l="1"/>
  <c r="I6" i="15"/>
  <c r="G32" i="13"/>
  <c r="G31" i="13"/>
  <c r="G30" i="13"/>
  <c r="F2" i="13"/>
  <c r="F31" i="13"/>
  <c r="F15" i="19" l="1"/>
  <c r="F14" i="19"/>
  <c r="F13" i="19"/>
  <c r="F12" i="19"/>
  <c r="D7" i="19"/>
  <c r="H10" i="19" s="1"/>
  <c r="C7" i="19"/>
  <c r="G10" i="19" s="1"/>
  <c r="D6" i="19"/>
  <c r="C6" i="19"/>
  <c r="C11" i="20" l="1"/>
  <c r="F5" i="20" s="1"/>
  <c r="C10" i="20"/>
  <c r="C9" i="20"/>
  <c r="C8" i="20"/>
  <c r="C7" i="20"/>
  <c r="C6" i="20"/>
  <c r="C5" i="20"/>
  <c r="F4" i="20"/>
  <c r="C4" i="20"/>
  <c r="C3" i="20"/>
  <c r="C2" i="20"/>
  <c r="K4" i="21"/>
  <c r="K6" i="21" s="1"/>
  <c r="N2" i="21"/>
  <c r="L16" i="21" s="1"/>
  <c r="F2" i="20" l="1"/>
  <c r="F7" i="20" s="1"/>
  <c r="L9" i="21"/>
  <c r="L13" i="21"/>
  <c r="L10" i="21"/>
  <c r="L14" i="21"/>
  <c r="L7" i="21"/>
  <c r="L11" i="21"/>
  <c r="L15" i="21"/>
  <c r="L8" i="21"/>
  <c r="L12" i="21"/>
</calcChain>
</file>

<file path=xl/connections.xml><?xml version="1.0" encoding="utf-8"?>
<connections xmlns="http://schemas.openxmlformats.org/spreadsheetml/2006/main">
  <connection id="1" name="查询来自 nw" type="1" refreshedVersion="6" background="1" saveData="1">
    <dbPr connection="DBQ=C:\1-计算机应用\讲稿和例子-2019\第1讲\Northwind.mdb;DefaultDir=C:\1-计算机应用\讲稿和例子-2019\第1讲;Driver={Microsoft Access Driver (*.mdb, *.accdb)};DriverId=25;FIL=MS Access;MaxBufferSize=2048;MaxScanRows=8;PageTimeout=5;SafeTransactions=0;Threads=3;UserCommitSync=Yes;" command="SELECT 订单.订购日期, 订单明细.订单ID, 类别.类别名称, 订单明细.单价*数量*(1-折扣), 订单明细.数量_x000d__x000a_FROM `C:\1-计算机应用\讲稿和例子-2019\第1讲\Northwind.mdb`.产品 产品, `C:\1-计算机应用\讲稿和例子-2019\第1讲\Northwind.mdb`.订单 订单, `C:\1-计算机应用\讲稿和例子-2019\第1讲\Northwind.mdb`.订单明细 订单明细, `C:\1-计算机应用\讲稿和例子-2019\第1讲\Northwind.mdb`.类别 类别_x000d__x000a_WHERE 产品.类别ID = 类别.类别ID AND 订单明细.产品ID = 产品.产品ID AND 订单.订单ID = 订单明细.订单ID AND ((订单.订购日期&gt;={ts '1996-07-01 00:00:00'} And 订单.订购日期&lt;={ts '1996-12-31 00:00:00'}))_x000d__x000a_ORDER BY 订单.订购日期, 订单明细.订单ID"/>
  </connection>
</connections>
</file>

<file path=xl/sharedStrings.xml><?xml version="1.0" encoding="utf-8"?>
<sst xmlns="http://schemas.openxmlformats.org/spreadsheetml/2006/main" count="1995" uniqueCount="225">
  <si>
    <t>性别</t>
  </si>
  <si>
    <t>男</t>
  </si>
  <si>
    <t>北京</t>
  </si>
  <si>
    <t>上海</t>
  </si>
  <si>
    <t>女</t>
  </si>
  <si>
    <t>内蒙</t>
  </si>
  <si>
    <t>江苏</t>
  </si>
  <si>
    <t>江西</t>
  </si>
  <si>
    <t>辽宁</t>
  </si>
  <si>
    <t>吉林</t>
  </si>
  <si>
    <t>山西</t>
  </si>
  <si>
    <t>重庆</t>
  </si>
  <si>
    <t>天津</t>
  </si>
  <si>
    <t>湖南</t>
  </si>
  <si>
    <t>陕西</t>
  </si>
  <si>
    <t>浙江</t>
  </si>
  <si>
    <t>贵州</t>
  </si>
  <si>
    <t>福建</t>
  </si>
  <si>
    <t>广东</t>
  </si>
  <si>
    <t>海南</t>
  </si>
  <si>
    <t>安徽</t>
  </si>
  <si>
    <t>山东</t>
  </si>
  <si>
    <t>河北</t>
  </si>
  <si>
    <t>湖北</t>
  </si>
  <si>
    <t>河南</t>
  </si>
  <si>
    <t>四川</t>
  </si>
  <si>
    <t>云南</t>
  </si>
  <si>
    <t>黑龙江</t>
  </si>
  <si>
    <t>西藏</t>
  </si>
  <si>
    <t>广西</t>
  </si>
  <si>
    <r>
      <t>学</t>
    </r>
    <r>
      <rPr>
        <b/>
        <sz val="11"/>
        <color indexed="8"/>
        <rFont val="Book Antiqua"/>
        <family val="1"/>
      </rPr>
      <t xml:space="preserve"> </t>
    </r>
    <r>
      <rPr>
        <b/>
        <sz val="11"/>
        <color indexed="8"/>
        <rFont val="宋体"/>
        <family val="3"/>
        <charset val="134"/>
      </rPr>
      <t>号</t>
    </r>
  </si>
  <si>
    <t>财务管理</t>
  </si>
  <si>
    <t>电子商务</t>
  </si>
  <si>
    <t>法律</t>
  </si>
  <si>
    <t>国际金融</t>
  </si>
  <si>
    <t>会计</t>
  </si>
  <si>
    <t>计算机</t>
  </si>
  <si>
    <t>贸易</t>
  </si>
  <si>
    <t>信息系统</t>
  </si>
  <si>
    <t>固定成本</t>
  </si>
  <si>
    <t>总成本</t>
  </si>
  <si>
    <t>无采购折扣</t>
  </si>
  <si>
    <t>有采购折扣</t>
  </si>
  <si>
    <t>年需求量</t>
  </si>
  <si>
    <t>采购单价</t>
  </si>
  <si>
    <t>单位储存成本系数</t>
  </si>
  <si>
    <t>每次订货的费用</t>
  </si>
  <si>
    <t>单位储存成本</t>
  </si>
  <si>
    <t>采购折扣</t>
  </si>
  <si>
    <t>折扣价格</t>
  </si>
  <si>
    <t>经济订货量</t>
  </si>
  <si>
    <t>订货量</t>
  </si>
  <si>
    <t>全年采购成本</t>
  </si>
  <si>
    <t>全年订货成本</t>
  </si>
  <si>
    <t>全年仓储成本</t>
  </si>
  <si>
    <t>全年总成本</t>
  </si>
  <si>
    <r>
      <t xml:space="preserve"> </t>
    </r>
    <r>
      <rPr>
        <sz val="10"/>
        <color theme="1"/>
        <rFont val="宋体"/>
        <family val="3"/>
        <charset val="134"/>
      </rPr>
      <t>单位：元</t>
    </r>
    <phoneticPr fontId="3" type="noConversion"/>
  </si>
  <si>
    <r>
      <t>固定成本</t>
    </r>
    <r>
      <rPr>
        <sz val="10"/>
        <color theme="1"/>
        <rFont val="Times New Roman"/>
        <family val="1"/>
      </rPr>
      <t xml:space="preserve"> (F)</t>
    </r>
    <phoneticPr fontId="3" type="noConversion"/>
  </si>
  <si>
    <t>产量斜率b</t>
    <phoneticPr fontId="13" type="noConversion"/>
  </si>
  <si>
    <r>
      <t>单价</t>
    </r>
    <r>
      <rPr>
        <sz val="10"/>
        <color theme="1"/>
        <rFont val="Times New Roman"/>
        <family val="1"/>
      </rPr>
      <t xml:space="preserve"> (p)</t>
    </r>
    <phoneticPr fontId="3" type="noConversion"/>
  </si>
  <si>
    <r>
      <t>销售收益</t>
    </r>
    <r>
      <rPr>
        <sz val="10"/>
        <color theme="1"/>
        <rFont val="Times New Roman"/>
        <family val="1"/>
      </rPr>
      <t xml:space="preserve"> (R)</t>
    </r>
    <phoneticPr fontId="3" type="noConversion"/>
  </si>
  <si>
    <r>
      <t>利润</t>
    </r>
    <r>
      <rPr>
        <sz val="10"/>
        <color theme="1"/>
        <rFont val="Times New Roman"/>
        <family val="1"/>
      </rPr>
      <t xml:space="preserve"> (</t>
    </r>
    <r>
      <rPr>
        <sz val="10"/>
        <color theme="1"/>
        <rFont val="宋体"/>
        <family val="3"/>
        <charset val="134"/>
      </rPr>
      <t>π</t>
    </r>
    <r>
      <rPr>
        <sz val="10"/>
        <color theme="1"/>
        <rFont val="Times New Roman"/>
        <family val="1"/>
      </rPr>
      <t>)</t>
    </r>
    <phoneticPr fontId="3" type="noConversion"/>
  </si>
  <si>
    <t>一次订货的订货成本</t>
  </si>
  <si>
    <t>日需求量</t>
    <phoneticPr fontId="23"/>
  </si>
  <si>
    <t>概率</t>
    <phoneticPr fontId="9" type="noConversion"/>
  </si>
  <si>
    <t>年总成本</t>
    <phoneticPr fontId="9" type="noConversion"/>
  </si>
  <si>
    <t>班级</t>
    <phoneticPr fontId="13" type="noConversion"/>
  </si>
  <si>
    <t>考生来源</t>
    <phoneticPr fontId="3" type="noConversion"/>
  </si>
  <si>
    <t>绩点</t>
    <phoneticPr fontId="3" type="noConversion"/>
  </si>
  <si>
    <t>工作地</t>
    <phoneticPr fontId="3" type="noConversion"/>
  </si>
  <si>
    <t>从事行业</t>
    <phoneticPr fontId="3" type="noConversion"/>
  </si>
  <si>
    <t>工资</t>
    <phoneticPr fontId="3" type="noConversion"/>
  </si>
  <si>
    <t>从事行业</t>
  </si>
  <si>
    <t>北京</t>
    <phoneticPr fontId="3" type="noConversion"/>
  </si>
  <si>
    <t>出版娱乐</t>
    <phoneticPr fontId="3" type="noConversion"/>
  </si>
  <si>
    <t>出版娱乐</t>
  </si>
  <si>
    <t>上海</t>
    <phoneticPr fontId="3" type="noConversion"/>
  </si>
  <si>
    <t>工业制造</t>
    <phoneticPr fontId="3" type="noConversion"/>
  </si>
  <si>
    <t>Daverage</t>
    <phoneticPr fontId="13" type="noConversion"/>
  </si>
  <si>
    <t>计算机</t>
    <phoneticPr fontId="3" type="noConversion"/>
  </si>
  <si>
    <t>北京</t>
    <phoneticPr fontId="3" type="noConversion"/>
  </si>
  <si>
    <t>工业制造</t>
  </si>
  <si>
    <t>教育咨询</t>
    <phoneticPr fontId="3" type="noConversion"/>
  </si>
  <si>
    <t>教育咨询</t>
  </si>
  <si>
    <t>金融</t>
  </si>
  <si>
    <t>教育咨询</t>
    <phoneticPr fontId="3" type="noConversion"/>
  </si>
  <si>
    <t>零售</t>
  </si>
  <si>
    <t>旅游休闲</t>
  </si>
  <si>
    <t>农业</t>
  </si>
  <si>
    <t>医疗卫生</t>
  </si>
  <si>
    <t>金融</t>
    <phoneticPr fontId="3" type="noConversion"/>
  </si>
  <si>
    <t>政府机构</t>
  </si>
  <si>
    <t>北京</t>
    <phoneticPr fontId="3" type="noConversion"/>
  </si>
  <si>
    <t>金融</t>
    <phoneticPr fontId="3" type="noConversion"/>
  </si>
  <si>
    <t>广东</t>
    <phoneticPr fontId="3" type="noConversion"/>
  </si>
  <si>
    <t>零售</t>
    <phoneticPr fontId="3" type="noConversion"/>
  </si>
  <si>
    <t>零售</t>
    <phoneticPr fontId="3" type="noConversion"/>
  </si>
  <si>
    <t>安徽</t>
    <phoneticPr fontId="3" type="noConversion"/>
  </si>
  <si>
    <t>旅游休闲</t>
    <phoneticPr fontId="3" type="noConversion"/>
  </si>
  <si>
    <t>医疗卫生</t>
    <phoneticPr fontId="3" type="noConversion"/>
  </si>
  <si>
    <t>政府机构</t>
    <phoneticPr fontId="3" type="noConversion"/>
  </si>
  <si>
    <t>上海</t>
    <phoneticPr fontId="3" type="noConversion"/>
  </si>
  <si>
    <t>出版娱乐</t>
    <phoneticPr fontId="3" type="noConversion"/>
  </si>
  <si>
    <t>工业制造</t>
    <phoneticPr fontId="3" type="noConversion"/>
  </si>
  <si>
    <t>工业制造</t>
    <phoneticPr fontId="3" type="noConversion"/>
  </si>
  <si>
    <t>上海</t>
    <phoneticPr fontId="3" type="noConversion"/>
  </si>
  <si>
    <t>计算机</t>
    <phoneticPr fontId="3" type="noConversion"/>
  </si>
  <si>
    <t>计算机</t>
    <phoneticPr fontId="3" type="noConversion"/>
  </si>
  <si>
    <t>北京</t>
    <phoneticPr fontId="3" type="noConversion"/>
  </si>
  <si>
    <t>教育咨询</t>
    <phoneticPr fontId="3" type="noConversion"/>
  </si>
  <si>
    <t>零售</t>
    <phoneticPr fontId="3" type="noConversion"/>
  </si>
  <si>
    <t>农业</t>
    <phoneticPr fontId="3" type="noConversion"/>
  </si>
  <si>
    <t>政府机构</t>
    <phoneticPr fontId="3" type="noConversion"/>
  </si>
  <si>
    <t>广东</t>
    <phoneticPr fontId="3" type="noConversion"/>
  </si>
  <si>
    <t>广东</t>
    <phoneticPr fontId="3" type="noConversion"/>
  </si>
  <si>
    <t>出版娱乐</t>
    <phoneticPr fontId="3" type="noConversion"/>
  </si>
  <si>
    <t>福建</t>
    <phoneticPr fontId="3" type="noConversion"/>
  </si>
  <si>
    <t>金融</t>
    <phoneticPr fontId="3" type="noConversion"/>
  </si>
  <si>
    <t>旅游休闲</t>
    <phoneticPr fontId="3" type="noConversion"/>
  </si>
  <si>
    <t>医疗卫生</t>
    <phoneticPr fontId="3" type="noConversion"/>
  </si>
  <si>
    <t>安徽</t>
    <phoneticPr fontId="3" type="noConversion"/>
  </si>
  <si>
    <t>福建</t>
    <phoneticPr fontId="3" type="noConversion"/>
  </si>
  <si>
    <t>安徽</t>
    <phoneticPr fontId="3" type="noConversion"/>
  </si>
  <si>
    <t>重庆</t>
    <phoneticPr fontId="3" type="noConversion"/>
  </si>
  <si>
    <t>男</t>
    <phoneticPr fontId="3" type="noConversion"/>
  </si>
  <si>
    <t>贵州</t>
    <phoneticPr fontId="3" type="noConversion"/>
  </si>
  <si>
    <t>河北</t>
    <phoneticPr fontId="3" type="noConversion"/>
  </si>
  <si>
    <t>山东</t>
    <phoneticPr fontId="3" type="noConversion"/>
  </si>
  <si>
    <t>上海</t>
    <phoneticPr fontId="3" type="noConversion"/>
  </si>
  <si>
    <t>零售</t>
    <phoneticPr fontId="3" type="noConversion"/>
  </si>
  <si>
    <t>计算机</t>
    <phoneticPr fontId="3" type="noConversion"/>
  </si>
  <si>
    <t>教育咨询</t>
    <phoneticPr fontId="3" type="noConversion"/>
  </si>
  <si>
    <t>旅游休闲</t>
    <phoneticPr fontId="3" type="noConversion"/>
  </si>
  <si>
    <t>政府机构</t>
    <phoneticPr fontId="3" type="noConversion"/>
  </si>
  <si>
    <t>年度</t>
    <phoneticPr fontId="13" type="noConversion"/>
  </si>
  <si>
    <t>销售量</t>
    <phoneticPr fontId="13" type="noConversion"/>
  </si>
  <si>
    <t>销量预测值</t>
    <phoneticPr fontId="13" type="noConversion"/>
  </si>
  <si>
    <t>时间间隔</t>
    <phoneticPr fontId="13" type="noConversion"/>
  </si>
  <si>
    <t>MSE</t>
    <phoneticPr fontId="13" type="noConversion"/>
  </si>
  <si>
    <t>最优时间间隔</t>
    <phoneticPr fontId="13" type="noConversion"/>
  </si>
  <si>
    <t>第10年的预测值</t>
    <phoneticPr fontId="13" type="noConversion"/>
  </si>
  <si>
    <t>单位可变成本</t>
    <phoneticPr fontId="13" type="noConversion"/>
  </si>
  <si>
    <t>单位可变成本</t>
  </si>
  <si>
    <t>生产量</t>
    <phoneticPr fontId="3" type="noConversion"/>
  </si>
  <si>
    <t>生产量</t>
    <phoneticPr fontId="13" type="noConversion"/>
  </si>
  <si>
    <t>产品A</t>
    <phoneticPr fontId="13" type="noConversion"/>
  </si>
  <si>
    <t>产品B</t>
    <phoneticPr fontId="13" type="noConversion"/>
  </si>
  <si>
    <t>生产量</t>
    <phoneticPr fontId="13" type="noConversion"/>
  </si>
  <si>
    <t>小于2000</t>
    <phoneticPr fontId="13" type="noConversion"/>
  </si>
  <si>
    <r>
      <rPr>
        <b/>
        <sz val="12"/>
        <color theme="1"/>
        <rFont val="宋体"/>
        <family val="3"/>
        <charset val="134"/>
      </rPr>
      <t>产品</t>
    </r>
    <r>
      <rPr>
        <b/>
        <sz val="12"/>
        <color theme="1"/>
        <rFont val="Times New Roman"/>
        <family val="1"/>
      </rPr>
      <t>A</t>
    </r>
    <phoneticPr fontId="3" type="noConversion"/>
  </si>
  <si>
    <r>
      <rPr>
        <b/>
        <sz val="12"/>
        <color theme="1"/>
        <rFont val="宋体"/>
        <family val="3"/>
        <charset val="134"/>
      </rPr>
      <t>产品</t>
    </r>
    <r>
      <rPr>
        <b/>
        <sz val="12"/>
        <color theme="1"/>
        <rFont val="Times New Roman"/>
        <family val="1"/>
      </rPr>
      <t>B</t>
    </r>
    <phoneticPr fontId="3" type="noConversion"/>
  </si>
  <si>
    <r>
      <rPr>
        <sz val="12"/>
        <rFont val="宋体"/>
        <family val="3"/>
        <charset val="134"/>
      </rPr>
      <t>大于等于</t>
    </r>
    <r>
      <rPr>
        <sz val="12"/>
        <rFont val="Arial"/>
        <family val="2"/>
      </rPr>
      <t>2000</t>
    </r>
    <r>
      <rPr>
        <sz val="12"/>
        <rFont val="宋体"/>
        <family val="3"/>
        <charset val="134"/>
      </rPr>
      <t>且小于</t>
    </r>
    <r>
      <rPr>
        <sz val="12"/>
        <rFont val="Arial"/>
        <family val="2"/>
      </rPr>
      <t>3</t>
    </r>
    <r>
      <rPr>
        <sz val="12"/>
        <rFont val="宋体"/>
        <family val="3"/>
        <charset val="134"/>
      </rPr>
      <t>000</t>
    </r>
    <phoneticPr fontId="13" type="noConversion"/>
  </si>
  <si>
    <t>大于等于3000</t>
    <phoneticPr fontId="13" type="noConversion"/>
  </si>
  <si>
    <t>采购阈限值</t>
    <phoneticPr fontId="13" type="noConversion"/>
  </si>
  <si>
    <t>达到采购阈限值时的订货量</t>
    <phoneticPr fontId="13" type="noConversion"/>
  </si>
  <si>
    <t>销售月</t>
    <phoneticPr fontId="13" type="noConversion"/>
  </si>
  <si>
    <t>产品销售数量</t>
    <phoneticPr fontId="3" type="noConversion"/>
  </si>
  <si>
    <t>销售平均单价（元）</t>
    <phoneticPr fontId="3" type="noConversion"/>
  </si>
  <si>
    <r>
      <t>单位变动成本</t>
    </r>
    <r>
      <rPr>
        <sz val="10"/>
        <color theme="1"/>
        <rFont val="Times New Roman"/>
        <family val="1"/>
      </rPr>
      <t xml:space="preserve"> (v)</t>
    </r>
    <phoneticPr fontId="3" type="noConversion"/>
  </si>
  <si>
    <r>
      <t>销售数量</t>
    </r>
    <r>
      <rPr>
        <sz val="10"/>
        <color theme="1"/>
        <rFont val="Times New Roman"/>
        <family val="1"/>
      </rPr>
      <t xml:space="preserve"> (Q)</t>
    </r>
    <phoneticPr fontId="3" type="noConversion"/>
  </si>
  <si>
    <t>产量</t>
    <phoneticPr fontId="13" type="noConversion"/>
  </si>
  <si>
    <t>利润</t>
    <phoneticPr fontId="13" type="noConversion"/>
  </si>
  <si>
    <t>产量截距a</t>
    <phoneticPr fontId="3" type="noConversion"/>
  </si>
  <si>
    <r>
      <t>总成本</t>
    </r>
    <r>
      <rPr>
        <sz val="10"/>
        <color theme="1"/>
        <rFont val="Times New Roman"/>
        <family val="1"/>
      </rPr>
      <t xml:space="preserve"> (C)</t>
    </r>
    <phoneticPr fontId="3" type="noConversion"/>
  </si>
  <si>
    <r>
      <t>最优产量</t>
    </r>
    <r>
      <rPr>
        <sz val="10"/>
        <color theme="1"/>
        <rFont val="Times New Roman"/>
        <family val="1"/>
      </rPr>
      <t xml:space="preserve"> (Q</t>
    </r>
    <r>
      <rPr>
        <vertAlign val="subscript"/>
        <sz val="10"/>
        <color theme="1"/>
        <rFont val="Times New Roman"/>
        <family val="1"/>
      </rPr>
      <t>opt</t>
    </r>
    <r>
      <rPr>
        <sz val="10"/>
        <color theme="1"/>
        <rFont val="Times New Roman"/>
        <family val="1"/>
      </rPr>
      <t>)</t>
    </r>
    <phoneticPr fontId="3" type="noConversion"/>
  </si>
  <si>
    <r>
      <t>利润极大值</t>
    </r>
    <r>
      <rPr>
        <sz val="10"/>
        <color theme="1"/>
        <rFont val="Times New Roman"/>
        <family val="1"/>
      </rPr>
      <t xml:space="preserve"> (</t>
    </r>
    <r>
      <rPr>
        <sz val="10"/>
        <color theme="1"/>
        <rFont val="宋体"/>
        <family val="3"/>
        <charset val="134"/>
      </rPr>
      <t>π</t>
    </r>
    <r>
      <rPr>
        <sz val="10"/>
        <color theme="1"/>
        <rFont val="Times New Roman"/>
        <family val="1"/>
      </rPr>
      <t>max)</t>
    </r>
    <phoneticPr fontId="3" type="noConversion"/>
  </si>
  <si>
    <t>累计概率</t>
    <phoneticPr fontId="9" type="noConversion"/>
  </si>
  <si>
    <t>初始库存</t>
    <phoneticPr fontId="23"/>
  </si>
  <si>
    <t>日单位储存成本</t>
    <phoneticPr fontId="23"/>
  </si>
  <si>
    <t>天</t>
    <phoneticPr fontId="23"/>
  </si>
  <si>
    <t>期初库存</t>
    <phoneticPr fontId="23"/>
  </si>
  <si>
    <t>日需求量</t>
    <phoneticPr fontId="23"/>
  </si>
  <si>
    <t>期末库存</t>
    <phoneticPr fontId="23"/>
  </si>
  <si>
    <t>订货标志</t>
    <phoneticPr fontId="23"/>
  </si>
  <si>
    <t>交货期</t>
    <phoneticPr fontId="3" type="noConversion"/>
  </si>
  <si>
    <t>订货成本</t>
    <phoneticPr fontId="23"/>
  </si>
  <si>
    <t>储存成本</t>
    <phoneticPr fontId="23"/>
  </si>
  <si>
    <t>总成本</t>
    <phoneticPr fontId="9" type="noConversion"/>
  </si>
  <si>
    <t>订购日期</t>
  </si>
  <si>
    <t>订单ID</t>
  </si>
  <si>
    <t>类别名称</t>
  </si>
  <si>
    <t>销售额</t>
    <phoneticPr fontId="13" type="noConversion"/>
  </si>
  <si>
    <t>数量</t>
  </si>
  <si>
    <t>谷类/麦片</t>
  </si>
  <si>
    <t>日用品</t>
  </si>
  <si>
    <t>肉/家禽</t>
  </si>
  <si>
    <t>行标签</t>
  </si>
  <si>
    <t>总数量</t>
  </si>
  <si>
    <t>数量百分比</t>
  </si>
  <si>
    <t>总销售额</t>
  </si>
  <si>
    <t>销售额百分比</t>
  </si>
  <si>
    <t>特制品</t>
  </si>
  <si>
    <t>数据组1</t>
  </si>
  <si>
    <t>海鲜</t>
  </si>
  <si>
    <t>饮料</t>
  </si>
  <si>
    <t>点心</t>
  </si>
  <si>
    <t>调味品</t>
  </si>
  <si>
    <t>普通类商品</t>
  </si>
  <si>
    <t>总计</t>
  </si>
  <si>
    <t>XXXXX</t>
    <phoneticPr fontId="13" type="noConversion"/>
  </si>
  <si>
    <t>XXXXX</t>
    <phoneticPr fontId="13" type="noConversion"/>
  </si>
  <si>
    <t>XXXXX</t>
    <phoneticPr fontId="13" type="noConversion"/>
  </si>
  <si>
    <t>XXXXX</t>
    <phoneticPr fontId="13" type="noConversion"/>
  </si>
  <si>
    <t>1、</t>
    <phoneticPr fontId="13" type="noConversion"/>
  </si>
  <si>
    <t>得到贷款</t>
    <phoneticPr fontId="13" type="noConversion"/>
  </si>
  <si>
    <t>第1个月支付利息</t>
    <phoneticPr fontId="13" type="noConversion"/>
  </si>
  <si>
    <t>第1个月归还本金</t>
    <phoneticPr fontId="13" type="noConversion"/>
  </si>
  <si>
    <t>第2到第23月每月归还本金</t>
    <phoneticPr fontId="13" type="noConversion"/>
  </si>
  <si>
    <t>第24月归还本金</t>
    <phoneticPr fontId="13" type="noConversion"/>
  </si>
  <si>
    <t>年化利率</t>
    <phoneticPr fontId="13" type="noConversion"/>
  </si>
  <si>
    <t>2、</t>
    <phoneticPr fontId="13" type="noConversion"/>
  </si>
  <si>
    <t>初始存入</t>
    <phoneticPr fontId="13" type="noConversion"/>
  </si>
  <si>
    <t>每月存入</t>
    <phoneticPr fontId="13" type="noConversion"/>
  </si>
  <si>
    <t>期限</t>
    <phoneticPr fontId="13" type="noConversion"/>
  </si>
  <si>
    <t>年利率</t>
    <phoneticPr fontId="13" type="noConversion"/>
  </si>
  <si>
    <t>到时存款额</t>
    <phoneticPr fontId="13" type="noConversion"/>
  </si>
  <si>
    <t>3、</t>
    <phoneticPr fontId="13" type="noConversion"/>
  </si>
  <si>
    <t>贷款额</t>
    <phoneticPr fontId="13" type="noConversion"/>
  </si>
  <si>
    <t>月支付额</t>
    <phoneticPr fontId="13" type="noConversion"/>
  </si>
  <si>
    <t>还款年限</t>
    <phoneticPr fontId="13" type="noConversion"/>
  </si>
  <si>
    <t>4、</t>
    <phoneticPr fontId="13" type="noConversion"/>
  </si>
  <si>
    <t>资产原值</t>
  </si>
  <si>
    <t>资产残值</t>
  </si>
  <si>
    <r>
      <t>使用寿命</t>
    </r>
    <r>
      <rPr>
        <sz val="12"/>
        <color indexed="63"/>
        <rFont val="Arial"/>
        <family val="2"/>
      </rPr>
      <t>(</t>
    </r>
    <r>
      <rPr>
        <sz val="12"/>
        <color indexed="63"/>
        <rFont val="宋体"/>
        <family val="3"/>
        <charset val="134"/>
      </rPr>
      <t>年</t>
    </r>
    <r>
      <rPr>
        <sz val="12"/>
        <color indexed="63"/>
        <rFont val="Arial"/>
        <family val="2"/>
      </rPr>
      <t>)</t>
    </r>
    <phoneticPr fontId="3" type="noConversion"/>
  </si>
  <si>
    <t>每年折旧额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</si>
</sst>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76" formatCode="0.0"/>
    <numFmt numFmtId="177" formatCode="0.0%"/>
    <numFmt numFmtId="178" formatCode="0.00000_ "/>
    <numFmt numFmtId="179" formatCode="_(* #,##0.00_);_(* \(#,##0.00\);_(* &quot;-&quot;??_);_(@_)"/>
    <numFmt numFmtId="180" formatCode="0.00_ "/>
    <numFmt numFmtId="181" formatCode="0_ "/>
  </numFmts>
  <fonts count="32"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</font>
    <font>
      <sz val="12"/>
      <name val="宋体"/>
      <family val="3"/>
      <charset val="134"/>
    </font>
    <font>
      <b/>
      <sz val="11"/>
      <name val="Arial"/>
      <family val="2"/>
    </font>
    <font>
      <sz val="11"/>
      <name val="宋体"/>
      <family val="3"/>
      <charset val="134"/>
    </font>
    <font>
      <sz val="12"/>
      <name val="Arial"/>
      <family val="2"/>
    </font>
    <font>
      <sz val="10"/>
      <name val="Arial"/>
      <family val="2"/>
    </font>
    <font>
      <sz val="9"/>
      <name val="宋体"/>
      <family val="3"/>
      <charset val="134"/>
      <scheme val="minor"/>
    </font>
    <font>
      <b/>
      <sz val="11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1"/>
      <color indexed="8"/>
      <name val="Book Antiqua"/>
      <family val="1"/>
    </font>
    <font>
      <sz val="9"/>
      <name val="宋体"/>
      <family val="2"/>
      <charset val="134"/>
      <scheme val="minor"/>
    </font>
    <font>
      <sz val="12"/>
      <name val="Times New Roman"/>
      <family val="1"/>
    </font>
    <font>
      <sz val="10.199999999999999"/>
      <name val="宋体"/>
      <family val="3"/>
      <charset val="134"/>
    </font>
    <font>
      <b/>
      <sz val="12"/>
      <color theme="1"/>
      <name val="宋体"/>
      <family val="3"/>
      <charset val="134"/>
    </font>
    <font>
      <b/>
      <sz val="12"/>
      <color theme="1"/>
      <name val="Times New Roman"/>
      <family val="1"/>
    </font>
    <font>
      <sz val="10"/>
      <color theme="1"/>
      <name val="宋体"/>
      <family val="3"/>
      <charset val="134"/>
    </font>
    <font>
      <sz val="10"/>
      <color theme="1"/>
      <name val="Arial"/>
      <family val="2"/>
    </font>
    <font>
      <sz val="10"/>
      <color theme="1"/>
      <name val="Times New Roman"/>
      <family val="1"/>
    </font>
    <font>
      <vertAlign val="subscript"/>
      <sz val="10"/>
      <color theme="1"/>
      <name val="Times New Roman"/>
      <family val="1"/>
    </font>
    <font>
      <sz val="11"/>
      <name val="宋体"/>
      <family val="3"/>
      <charset val="134"/>
      <scheme val="minor"/>
    </font>
    <font>
      <sz val="6"/>
      <name val="ＭＳ Ｐゴシック"/>
      <family val="3"/>
      <charset val="255"/>
    </font>
    <font>
      <sz val="10"/>
      <name val="宋体"/>
      <family val="3"/>
      <charset val="134"/>
    </font>
    <font>
      <b/>
      <sz val="11"/>
      <color theme="0"/>
      <name val="宋体"/>
      <family val="2"/>
      <charset val="134"/>
      <scheme val="minor"/>
    </font>
    <font>
      <sz val="10"/>
      <color theme="1"/>
      <name val="宋体"/>
      <family val="2"/>
      <charset val="134"/>
      <scheme val="minor"/>
    </font>
    <font>
      <sz val="10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color theme="1"/>
      <name val="宋体"/>
      <family val="2"/>
      <charset val="134"/>
      <scheme val="minor"/>
    </font>
    <font>
      <sz val="12"/>
      <color indexed="63"/>
      <name val="Arial"/>
      <family val="2"/>
    </font>
    <font>
      <sz val="12"/>
      <color indexed="63"/>
      <name val="宋体"/>
      <family val="3"/>
      <charset val="134"/>
    </font>
  </fonts>
  <fills count="2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  <fill>
      <patternFill patternType="lightUp"/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indexed="44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0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/>
    <xf numFmtId="0" fontId="4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4" fillId="0" borderId="0"/>
    <xf numFmtId="0" fontId="8" fillId="0" borderId="0"/>
    <xf numFmtId="0" fontId="4" fillId="0" borderId="0">
      <alignment vertical="center"/>
    </xf>
    <xf numFmtId="179" fontId="8" fillId="0" borderId="0" applyFont="0" applyFill="0" applyBorder="0" applyAlignment="0" applyProtection="0"/>
    <xf numFmtId="0" fontId="1" fillId="0" borderId="0">
      <alignment vertical="center"/>
    </xf>
    <xf numFmtId="0" fontId="4" fillId="0" borderId="0"/>
    <xf numFmtId="0" fontId="8" fillId="0" borderId="0"/>
  </cellStyleXfs>
  <cellXfs count="130">
    <xf numFmtId="0" fontId="0" fillId="0" borderId="0" xfId="0">
      <alignment vertical="center"/>
    </xf>
    <xf numFmtId="0" fontId="5" fillId="0" borderId="0" xfId="3" applyFont="1">
      <alignment vertical="center"/>
    </xf>
    <xf numFmtId="0" fontId="0" fillId="0" borderId="1" xfId="0" applyBorder="1">
      <alignment vertical="center"/>
    </xf>
    <xf numFmtId="0" fontId="4" fillId="0" borderId="1" xfId="5" applyBorder="1"/>
    <xf numFmtId="0" fontId="14" fillId="0" borderId="1" xfId="5" quotePrefix="1" applyFont="1" applyBorder="1"/>
    <xf numFmtId="0" fontId="15" fillId="0" borderId="1" xfId="5" applyFont="1" applyBorder="1"/>
    <xf numFmtId="0" fontId="0" fillId="5" borderId="1" xfId="0" applyFill="1" applyBorder="1">
      <alignment vertical="center"/>
    </xf>
    <xf numFmtId="0" fontId="0" fillId="6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7" fillId="0" borderId="0" xfId="6" applyFont="1"/>
    <xf numFmtId="0" fontId="7" fillId="0" borderId="0" xfId="6" applyFont="1" applyAlignment="1">
      <alignment horizontal="center"/>
    </xf>
    <xf numFmtId="0" fontId="4" fillId="2" borderId="3" xfId="6" applyFont="1" applyFill="1" applyBorder="1"/>
    <xf numFmtId="0" fontId="4" fillId="2" borderId="4" xfId="6" applyFont="1" applyFill="1" applyBorder="1"/>
    <xf numFmtId="0" fontId="7" fillId="7" borderId="1" xfId="6" applyFont="1" applyFill="1" applyBorder="1"/>
    <xf numFmtId="0" fontId="7" fillId="8" borderId="1" xfId="6" applyFont="1" applyFill="1" applyBorder="1" applyAlignment="1">
      <alignment horizontal="center"/>
    </xf>
    <xf numFmtId="0" fontId="16" fillId="0" borderId="0" xfId="6" applyFont="1" applyFill="1" applyBorder="1"/>
    <xf numFmtId="0" fontId="17" fillId="0" borderId="0" xfId="6" applyFont="1" applyFill="1" applyBorder="1" applyAlignment="1">
      <alignment horizontal="center"/>
    </xf>
    <xf numFmtId="0" fontId="4" fillId="2" borderId="1" xfId="6" applyFont="1" applyFill="1" applyBorder="1"/>
    <xf numFmtId="0" fontId="7" fillId="9" borderId="1" xfId="6" applyFont="1" applyFill="1" applyBorder="1"/>
    <xf numFmtId="0" fontId="6" fillId="2" borderId="1" xfId="7" applyFont="1" applyFill="1" applyBorder="1">
      <alignment vertical="center"/>
    </xf>
    <xf numFmtId="1" fontId="6" fillId="4" borderId="1" xfId="7" applyNumberFormat="1" applyFont="1" applyFill="1" applyBorder="1">
      <alignment vertical="center"/>
    </xf>
    <xf numFmtId="0" fontId="6" fillId="4" borderId="1" xfId="7" applyFont="1" applyFill="1" applyBorder="1">
      <alignment vertical="center"/>
    </xf>
    <xf numFmtId="9" fontId="6" fillId="4" borderId="1" xfId="7" applyNumberFormat="1" applyFont="1" applyFill="1" applyBorder="1">
      <alignment vertical="center"/>
    </xf>
    <xf numFmtId="0" fontId="6" fillId="3" borderId="1" xfId="7" applyFont="1" applyFill="1" applyBorder="1">
      <alignment vertical="center"/>
    </xf>
    <xf numFmtId="0" fontId="6" fillId="11" borderId="1" xfId="7" applyFont="1" applyFill="1" applyBorder="1">
      <alignment vertical="center"/>
    </xf>
    <xf numFmtId="177" fontId="6" fillId="4" borderId="1" xfId="1" applyNumberFormat="1" applyFont="1" applyFill="1" applyBorder="1" applyAlignment="1"/>
    <xf numFmtId="0" fontId="6" fillId="2" borderId="5" xfId="7" applyFont="1" applyFill="1" applyBorder="1">
      <alignment vertical="center"/>
    </xf>
    <xf numFmtId="1" fontId="6" fillId="3" borderId="1" xfId="7" applyNumberFormat="1" applyFont="1" applyFill="1" applyBorder="1">
      <alignment vertical="center"/>
    </xf>
    <xf numFmtId="1" fontId="6" fillId="3" borderId="6" xfId="7" applyNumberFormat="1" applyFont="1" applyFill="1" applyBorder="1">
      <alignment vertical="center"/>
    </xf>
    <xf numFmtId="0" fontId="6" fillId="2" borderId="7" xfId="7" applyFont="1" applyFill="1" applyBorder="1">
      <alignment vertical="center"/>
    </xf>
    <xf numFmtId="0" fontId="18" fillId="0" borderId="1" xfId="0" applyFont="1" applyFill="1" applyBorder="1" applyAlignment="1"/>
    <xf numFmtId="0" fontId="19" fillId="0" borderId="1" xfId="0" applyFont="1" applyFill="1" applyBorder="1" applyAlignment="1">
      <alignment horizontal="right"/>
    </xf>
    <xf numFmtId="2" fontId="19" fillId="0" borderId="1" xfId="0" applyNumberFormat="1" applyFont="1" applyFill="1" applyBorder="1" applyAlignment="1"/>
    <xf numFmtId="1" fontId="19" fillId="0" borderId="1" xfId="0" applyNumberFormat="1" applyFont="1" applyFill="1" applyBorder="1" applyAlignment="1"/>
    <xf numFmtId="0" fontId="19" fillId="0" borderId="1" xfId="0" applyFont="1" applyFill="1" applyBorder="1" applyAlignment="1"/>
    <xf numFmtId="178" fontId="19" fillId="0" borderId="1" xfId="0" applyNumberFormat="1" applyFont="1" applyFill="1" applyBorder="1" applyAlignment="1"/>
    <xf numFmtId="0" fontId="22" fillId="0" borderId="1" xfId="2" applyFont="1" applyFill="1" applyBorder="1" applyAlignment="1">
      <alignment vertical="center"/>
    </xf>
    <xf numFmtId="0" fontId="22" fillId="0" borderId="1" xfId="2" applyNumberFormat="1" applyFont="1" applyFill="1" applyBorder="1" applyAlignment="1">
      <alignment vertical="center"/>
    </xf>
    <xf numFmtId="0" fontId="22" fillId="0" borderId="0" xfId="2" applyNumberFormat="1" applyFont="1" applyFill="1" applyBorder="1" applyAlignment="1">
      <alignment vertical="center"/>
    </xf>
    <xf numFmtId="0" fontId="22" fillId="0" borderId="1" xfId="2" applyFont="1" applyFill="1" applyBorder="1" applyAlignment="1">
      <alignment horizontal="center" vertical="center"/>
    </xf>
    <xf numFmtId="0" fontId="22" fillId="0" borderId="1" xfId="2" applyNumberFormat="1" applyFont="1" applyFill="1" applyBorder="1" applyAlignment="1">
      <alignment horizontal="center" vertical="center"/>
    </xf>
    <xf numFmtId="0" fontId="22" fillId="0" borderId="3" xfId="2" applyFont="1" applyFill="1" applyBorder="1" applyAlignment="1">
      <alignment vertical="center"/>
    </xf>
    <xf numFmtId="0" fontId="22" fillId="0" borderId="2" xfId="2" applyNumberFormat="1" applyFont="1" applyFill="1" applyBorder="1" applyAlignment="1">
      <alignment vertical="center"/>
    </xf>
    <xf numFmtId="9" fontId="22" fillId="0" borderId="1" xfId="2" applyNumberFormat="1" applyFont="1" applyFill="1" applyBorder="1" applyAlignment="1">
      <alignment horizontal="center" vertical="center"/>
    </xf>
    <xf numFmtId="0" fontId="22" fillId="0" borderId="1" xfId="2" applyFont="1" applyFill="1" applyBorder="1"/>
    <xf numFmtId="2" fontId="22" fillId="12" borderId="1" xfId="2" applyNumberFormat="1" applyFont="1" applyFill="1" applyBorder="1"/>
    <xf numFmtId="2" fontId="22" fillId="0" borderId="0" xfId="2" applyNumberFormat="1" applyFont="1" applyFill="1" applyBorder="1" applyAlignment="1">
      <alignment vertical="center"/>
    </xf>
    <xf numFmtId="9" fontId="22" fillId="0" borderId="1" xfId="4" applyFont="1" applyFill="1" applyBorder="1" applyAlignment="1">
      <alignment horizontal="center" vertical="center"/>
    </xf>
    <xf numFmtId="0" fontId="22" fillId="0" borderId="0" xfId="2" applyFont="1" applyFill="1"/>
    <xf numFmtId="0" fontId="22" fillId="0" borderId="0" xfId="2" applyNumberFormat="1" applyFont="1" applyFill="1" applyBorder="1"/>
    <xf numFmtId="9" fontId="22" fillId="0" borderId="1" xfId="2" applyNumberFormat="1" applyFont="1" applyFill="1" applyBorder="1" applyAlignment="1">
      <alignment horizontal="center"/>
    </xf>
    <xf numFmtId="0" fontId="4" fillId="5" borderId="1" xfId="6" applyFont="1" applyFill="1" applyBorder="1" applyAlignment="1">
      <alignment horizontal="center"/>
    </xf>
    <xf numFmtId="0" fontId="4" fillId="0" borderId="0" xfId="5" applyBorder="1"/>
    <xf numFmtId="0" fontId="7" fillId="5" borderId="1" xfId="6" applyFont="1" applyFill="1" applyBorder="1" applyAlignment="1">
      <alignment horizontal="center"/>
    </xf>
    <xf numFmtId="176" fontId="7" fillId="13" borderId="1" xfId="6" applyNumberFormat="1" applyFont="1" applyFill="1" applyBorder="1"/>
    <xf numFmtId="0" fontId="7" fillId="3" borderId="1" xfId="6" applyFont="1" applyFill="1" applyBorder="1"/>
    <xf numFmtId="0" fontId="7" fillId="0" borderId="0" xfId="6" applyFont="1" applyFill="1"/>
    <xf numFmtId="0" fontId="4" fillId="0" borderId="0" xfId="6" applyFont="1" applyAlignment="1">
      <alignment horizontal="center"/>
    </xf>
    <xf numFmtId="0" fontId="4" fillId="0" borderId="0" xfId="6" applyFont="1"/>
    <xf numFmtId="0" fontId="7" fillId="10" borderId="0" xfId="6" applyFont="1" applyFill="1" applyBorder="1" applyAlignment="1">
      <alignment horizontal="center"/>
    </xf>
    <xf numFmtId="0" fontId="7" fillId="14" borderId="1" xfId="6" applyFont="1" applyFill="1" applyBorder="1" applyAlignment="1">
      <alignment horizontal="center"/>
    </xf>
    <xf numFmtId="0" fontId="7" fillId="0" borderId="1" xfId="6" applyFont="1" applyBorder="1" applyAlignment="1">
      <alignment horizontal="center"/>
    </xf>
    <xf numFmtId="0" fontId="7" fillId="0" borderId="0" xfId="6" applyFont="1" applyBorder="1"/>
    <xf numFmtId="0" fontId="7" fillId="0" borderId="0" xfId="6" applyFont="1" applyBorder="1" applyAlignment="1">
      <alignment horizontal="center"/>
    </xf>
    <xf numFmtId="176" fontId="7" fillId="10" borderId="0" xfId="6" applyNumberFormat="1" applyFont="1" applyFill="1" applyBorder="1" applyAlignment="1">
      <alignment horizontal="center"/>
    </xf>
    <xf numFmtId="176" fontId="7" fillId="0" borderId="0" xfId="6" applyNumberFormat="1" applyFont="1" applyBorder="1"/>
    <xf numFmtId="0" fontId="2" fillId="0" borderId="0" xfId="0" applyFont="1">
      <alignment vertical="center"/>
    </xf>
    <xf numFmtId="1" fontId="6" fillId="0" borderId="0" xfId="7" applyNumberFormat="1" applyFont="1">
      <alignment vertical="center"/>
    </xf>
    <xf numFmtId="1" fontId="6" fillId="0" borderId="0" xfId="7" applyNumberFormat="1" applyFont="1" applyFill="1">
      <alignment vertical="center"/>
    </xf>
    <xf numFmtId="0" fontId="6" fillId="0" borderId="0" xfId="7" applyFont="1">
      <alignment vertical="center"/>
    </xf>
    <xf numFmtId="1" fontId="2" fillId="0" borderId="0" xfId="0" applyNumberFormat="1" applyFont="1">
      <alignment vertical="center"/>
    </xf>
    <xf numFmtId="0" fontId="0" fillId="0" borderId="0" xfId="0" applyBorder="1">
      <alignment vertical="center"/>
    </xf>
    <xf numFmtId="0" fontId="24" fillId="0" borderId="0" xfId="0" applyFont="1" applyFill="1" applyBorder="1" applyAlignment="1">
      <alignment horizontal="center" wrapText="1"/>
    </xf>
    <xf numFmtId="2" fontId="0" fillId="0" borderId="0" xfId="0" applyNumberFormat="1">
      <alignment vertical="center"/>
    </xf>
    <xf numFmtId="0" fontId="22" fillId="0" borderId="0" xfId="8" applyNumberFormat="1" applyFont="1" applyFill="1" applyBorder="1" applyAlignment="1">
      <alignment vertical="center"/>
    </xf>
    <xf numFmtId="2" fontId="22" fillId="15" borderId="2" xfId="2" applyNumberFormat="1" applyFont="1" applyFill="1" applyBorder="1" applyAlignment="1">
      <alignment vertical="center"/>
    </xf>
    <xf numFmtId="9" fontId="22" fillId="0" borderId="1" xfId="2" applyNumberFormat="1" applyFont="1" applyFill="1" applyBorder="1"/>
    <xf numFmtId="0" fontId="22" fillId="15" borderId="1" xfId="2" applyNumberFormat="1" applyFont="1" applyFill="1" applyBorder="1"/>
    <xf numFmtId="0" fontId="22" fillId="0" borderId="1" xfId="2" applyFont="1" applyFill="1" applyBorder="1" applyAlignment="1">
      <alignment horizontal="center"/>
    </xf>
    <xf numFmtId="0" fontId="22" fillId="0" borderId="1" xfId="2" applyFont="1" applyFill="1" applyBorder="1" applyAlignment="1">
      <alignment horizontal="center" wrapText="1"/>
    </xf>
    <xf numFmtId="2" fontId="22" fillId="12" borderId="0" xfId="2" applyNumberFormat="1" applyFont="1" applyFill="1"/>
    <xf numFmtId="2" fontId="22" fillId="0" borderId="1" xfId="2" applyNumberFormat="1" applyFont="1" applyFill="1" applyBorder="1"/>
    <xf numFmtId="9" fontId="22" fillId="0" borderId="0" xfId="2" applyNumberFormat="1" applyFont="1" applyFill="1"/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26" fillId="0" borderId="0" xfId="0" applyNumberFormat="1" applyFont="1" applyAlignment="1">
      <alignment horizontal="center" vertical="center"/>
    </xf>
    <xf numFmtId="10" fontId="27" fillId="0" borderId="0" xfId="0" applyNumberFormat="1" applyFont="1" applyAlignment="1">
      <alignment horizontal="center" vertical="center"/>
    </xf>
    <xf numFmtId="0" fontId="25" fillId="16" borderId="1" xfId="0" applyFont="1" applyFill="1" applyBorder="1" applyAlignment="1">
      <alignment horizontal="center" vertical="center"/>
    </xf>
    <xf numFmtId="22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22" fontId="0" fillId="17" borderId="1" xfId="0" applyNumberFormat="1" applyFont="1" applyFill="1" applyBorder="1" applyAlignment="1">
      <alignment horizontal="center" vertical="center"/>
    </xf>
    <xf numFmtId="0" fontId="0" fillId="17" borderId="1" xfId="0" applyFont="1" applyFill="1" applyBorder="1" applyAlignment="1">
      <alignment horizontal="center" vertical="center"/>
    </xf>
    <xf numFmtId="0" fontId="0" fillId="0" borderId="0" xfId="0" pivotButton="1">
      <alignment vertical="center"/>
    </xf>
    <xf numFmtId="0" fontId="0" fillId="0" borderId="0" xfId="0" pivotButton="1" applyAlignment="1">
      <alignment horizontal="center" vertical="center"/>
    </xf>
    <xf numFmtId="0" fontId="28" fillId="0" borderId="0" xfId="0" applyFont="1">
      <alignment vertical="center"/>
    </xf>
    <xf numFmtId="0" fontId="4" fillId="0" borderId="0" xfId="2" applyFont="1" applyFill="1" applyBorder="1" applyAlignment="1">
      <alignment horizontal="center"/>
    </xf>
    <xf numFmtId="0" fontId="29" fillId="0" borderId="0" xfId="9" applyFont="1">
      <alignment vertical="center"/>
    </xf>
    <xf numFmtId="0" fontId="4" fillId="5" borderId="1" xfId="2" applyFont="1" applyFill="1" applyBorder="1" applyAlignment="1"/>
    <xf numFmtId="0" fontId="7" fillId="4" borderId="1" xfId="10" applyFont="1" applyFill="1" applyBorder="1" applyAlignment="1">
      <alignment horizontal="center"/>
    </xf>
    <xf numFmtId="10" fontId="7" fillId="3" borderId="1" xfId="11" applyNumberFormat="1" applyFont="1" applyFill="1" applyBorder="1" applyProtection="1"/>
    <xf numFmtId="0" fontId="4" fillId="12" borderId="1" xfId="2" applyFont="1" applyFill="1" applyBorder="1" applyAlignment="1">
      <alignment horizontal="center"/>
    </xf>
    <xf numFmtId="10" fontId="4" fillId="12" borderId="1" xfId="2" applyNumberFormat="1" applyFont="1" applyFill="1" applyBorder="1" applyAlignment="1">
      <alignment horizontal="center"/>
    </xf>
    <xf numFmtId="180" fontId="7" fillId="3" borderId="1" xfId="11" applyNumberFormat="1" applyFont="1" applyFill="1" applyBorder="1" applyProtection="1"/>
    <xf numFmtId="0" fontId="0" fillId="12" borderId="1" xfId="0" applyFill="1" applyBorder="1" applyAlignment="1"/>
    <xf numFmtId="9" fontId="0" fillId="12" borderId="1" xfId="4" applyFont="1" applyFill="1" applyBorder="1" applyAlignment="1"/>
    <xf numFmtId="10" fontId="4" fillId="0" borderId="0" xfId="2" applyNumberFormat="1" applyFont="1" applyFill="1" applyBorder="1" applyAlignment="1">
      <alignment horizontal="center"/>
    </xf>
    <xf numFmtId="0" fontId="30" fillId="5" borderId="1" xfId="0" applyFont="1" applyFill="1" applyBorder="1" applyAlignment="1">
      <alignment vertical="top" wrapText="1"/>
    </xf>
    <xf numFmtId="0" fontId="31" fillId="5" borderId="1" xfId="0" applyFont="1" applyFill="1" applyBorder="1" applyAlignment="1">
      <alignment vertical="top" wrapText="1"/>
    </xf>
    <xf numFmtId="181" fontId="0" fillId="18" borderId="1" xfId="0" applyNumberFormat="1" applyFill="1" applyBorder="1" applyAlignment="1">
      <alignment horizontal="right"/>
    </xf>
    <xf numFmtId="0" fontId="4" fillId="5" borderId="1" xfId="6" applyFont="1" applyFill="1" applyBorder="1" applyAlignment="1">
      <alignment horizontal="center"/>
    </xf>
    <xf numFmtId="1" fontId="0" fillId="0" borderId="8" xfId="0" applyNumberFormat="1" applyBorder="1">
      <alignment vertical="center"/>
    </xf>
    <xf numFmtId="1" fontId="0" fillId="0" borderId="9" xfId="0" applyNumberFormat="1" applyBorder="1">
      <alignment vertical="center"/>
    </xf>
    <xf numFmtId="1" fontId="0" fillId="0" borderId="2" xfId="0" applyNumberFormat="1" applyBorder="1">
      <alignment vertical="center"/>
    </xf>
    <xf numFmtId="0" fontId="0" fillId="19" borderId="8" xfId="0" applyFill="1" applyBorder="1">
      <alignment vertical="center"/>
    </xf>
    <xf numFmtId="0" fontId="0" fillId="19" borderId="9" xfId="0" applyFill="1" applyBorder="1">
      <alignment vertical="center"/>
    </xf>
    <xf numFmtId="0" fontId="0" fillId="19" borderId="2" xfId="0" applyFill="1" applyBorder="1">
      <alignment vertical="center"/>
    </xf>
    <xf numFmtId="1" fontId="0" fillId="6" borderId="8" xfId="0" applyNumberFormat="1" applyFill="1" applyBorder="1">
      <alignment vertical="center"/>
    </xf>
    <xf numFmtId="1" fontId="0" fillId="6" borderId="9" xfId="0" applyNumberFormat="1" applyFill="1" applyBorder="1">
      <alignment vertical="center"/>
    </xf>
    <xf numFmtId="1" fontId="0" fillId="6" borderId="2" xfId="0" applyNumberFormat="1" applyFill="1" applyBorder="1">
      <alignment vertical="center"/>
    </xf>
    <xf numFmtId="0" fontId="0" fillId="15" borderId="1" xfId="0" applyFill="1" applyBorder="1">
      <alignment vertical="center"/>
    </xf>
    <xf numFmtId="0" fontId="0" fillId="12" borderId="1" xfId="0" applyFill="1" applyBorder="1">
      <alignment vertical="center"/>
    </xf>
    <xf numFmtId="0" fontId="0" fillId="19" borderId="1" xfId="0" applyFill="1" applyBorder="1">
      <alignment vertical="center"/>
    </xf>
    <xf numFmtId="2" fontId="7" fillId="0" borderId="1" xfId="6" applyNumberFormat="1" applyFont="1" applyBorder="1" applyAlignment="1">
      <alignment horizontal="center"/>
    </xf>
  </cellXfs>
  <cellStyles count="12">
    <cellStyle name="Comma_考试题-绘图1" xfId="8"/>
    <cellStyle name="百分比" xfId="4" builtinId="5"/>
    <cellStyle name="百分比 2" xfId="1"/>
    <cellStyle name="常规" xfId="0" builtinId="0"/>
    <cellStyle name="常规 2" xfId="2"/>
    <cellStyle name="常规 3" xfId="3"/>
    <cellStyle name="常规 4" xfId="7"/>
    <cellStyle name="常规 5" xfId="9"/>
    <cellStyle name="常规_ch3-2 ANSWER" xfId="5"/>
    <cellStyle name="常规_第1套第6题解答" xfId="6"/>
    <cellStyle name="常规_第五章试题" xfId="10"/>
    <cellStyle name="常规_回归1" xfId="11"/>
  </cellStyles>
  <dxfs count="9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7" formatCode="yyyy/m/d\ h:mm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readingOrder="0"/>
    </dxf>
    <dxf>
      <alignment horizontal="center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externalLink" Target="externalLinks/externalLink10.xml"/><Relationship Id="rId26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5" Type="http://schemas.openxmlformats.org/officeDocument/2006/relationships/externalLink" Target="externalLinks/externalLink1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0" Type="http://schemas.openxmlformats.org/officeDocument/2006/relationships/externalLink" Target="externalLinks/externalLink12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24" Type="http://schemas.openxmlformats.org/officeDocument/2006/relationships/externalLink" Target="externalLinks/externalLink16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23" Type="http://schemas.openxmlformats.org/officeDocument/2006/relationships/externalLink" Target="externalLinks/externalLink15.xml"/><Relationship Id="rId28" Type="http://schemas.openxmlformats.org/officeDocument/2006/relationships/connections" Target="connections.xml"/><Relationship Id="rId10" Type="http://schemas.openxmlformats.org/officeDocument/2006/relationships/externalLink" Target="externalLinks/externalLink2.xml"/><Relationship Id="rId19" Type="http://schemas.openxmlformats.org/officeDocument/2006/relationships/externalLink" Target="externalLinks/externalLink11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Relationship Id="rId22" Type="http://schemas.openxmlformats.org/officeDocument/2006/relationships/externalLink" Target="externalLinks/externalLink14.xml"/><Relationship Id="rId27" Type="http://schemas.openxmlformats.org/officeDocument/2006/relationships/theme" Target="theme/theme1.xml"/><Relationship Id="rId30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各行业工资统计图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6585081308834268E-2"/>
          <c:y val="0.14878196335786079"/>
          <c:w val="0.9131009788934239"/>
          <c:h val="0.747572515111788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'[15]1套第2题答案'!$K$6</c:f>
              <c:strCache>
                <c:ptCount val="1"/>
                <c:pt idx="0">
                  <c:v>6500</c:v>
                </c:pt>
              </c:strCache>
            </c:strRef>
          </c:tx>
          <c:invertIfNegative val="0"/>
          <c:cat>
            <c:strRef>
              <c:f>'[15]1套第2题答案'!$J$7:$J$16</c:f>
              <c:strCache>
                <c:ptCount val="10"/>
                <c:pt idx="0">
                  <c:v>出版娱乐</c:v>
                </c:pt>
                <c:pt idx="1">
                  <c:v>工业制造</c:v>
                </c:pt>
                <c:pt idx="2">
                  <c:v>计算机</c:v>
                </c:pt>
                <c:pt idx="3">
                  <c:v>教育咨询</c:v>
                </c:pt>
                <c:pt idx="4">
                  <c:v>金融</c:v>
                </c:pt>
                <c:pt idx="5">
                  <c:v>零售</c:v>
                </c:pt>
                <c:pt idx="6">
                  <c:v>旅游休闲</c:v>
                </c:pt>
                <c:pt idx="7">
                  <c:v>农业</c:v>
                </c:pt>
                <c:pt idx="8">
                  <c:v>医疗卫生</c:v>
                </c:pt>
                <c:pt idx="9">
                  <c:v>政府机构</c:v>
                </c:pt>
              </c:strCache>
            </c:strRef>
          </c:cat>
          <c:val>
            <c:numRef>
              <c:f>'[15]1套第2题答案'!$K$7:$K$16</c:f>
              <c:numCache>
                <c:formatCode>General</c:formatCode>
                <c:ptCount val="10"/>
                <c:pt idx="0">
                  <c:v>6500</c:v>
                </c:pt>
                <c:pt idx="1">
                  <c:v>7000</c:v>
                </c:pt>
                <c:pt idx="2">
                  <c:v>6815.6862745098042</c:v>
                </c:pt>
                <c:pt idx="3">
                  <c:v>6936.95652173913</c:v>
                </c:pt>
                <c:pt idx="4">
                  <c:v>7242.1875</c:v>
                </c:pt>
                <c:pt idx="5">
                  <c:v>7020.588235294118</c:v>
                </c:pt>
                <c:pt idx="6">
                  <c:v>7320</c:v>
                </c:pt>
                <c:pt idx="7">
                  <c:v>6275</c:v>
                </c:pt>
                <c:pt idx="8">
                  <c:v>6780</c:v>
                </c:pt>
                <c:pt idx="9">
                  <c:v>6554.347826086957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90-45AB-8DF8-B6B776D3565E}"/>
            </c:ext>
          </c:extLst>
        </c:ser>
        <c:ser>
          <c:idx val="1"/>
          <c:order val="1"/>
          <c:invertIfNegative val="0"/>
          <c:cat>
            <c:strRef>
              <c:f>'[15]1套第2题答案'!$J$7:$J$16</c:f>
              <c:strCache>
                <c:ptCount val="10"/>
                <c:pt idx="0">
                  <c:v>出版娱乐</c:v>
                </c:pt>
                <c:pt idx="1">
                  <c:v>工业制造</c:v>
                </c:pt>
                <c:pt idx="2">
                  <c:v>计算机</c:v>
                </c:pt>
                <c:pt idx="3">
                  <c:v>教育咨询</c:v>
                </c:pt>
                <c:pt idx="4">
                  <c:v>金融</c:v>
                </c:pt>
                <c:pt idx="5">
                  <c:v>零售</c:v>
                </c:pt>
                <c:pt idx="6">
                  <c:v>旅游休闲</c:v>
                </c:pt>
                <c:pt idx="7">
                  <c:v>农业</c:v>
                </c:pt>
                <c:pt idx="8">
                  <c:v>医疗卫生</c:v>
                </c:pt>
                <c:pt idx="9">
                  <c:v>政府机构</c:v>
                </c:pt>
              </c:strCache>
            </c:strRef>
          </c:cat>
          <c:val>
            <c:numRef>
              <c:f>'[15]1套第2题答案'!$L$7:$L$16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6815.6862745098042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90-45AB-8DF8-B6B776D356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6"/>
        <c:overlap val="100"/>
        <c:axId val="182889472"/>
        <c:axId val="242281856"/>
      </c:barChart>
      <c:catAx>
        <c:axId val="1828894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42281856"/>
        <c:crosses val="autoZero"/>
        <c:auto val="1"/>
        <c:lblAlgn val="ctr"/>
        <c:lblOffset val="100"/>
        <c:noMultiLvlLbl val="0"/>
      </c:catAx>
      <c:valAx>
        <c:axId val="242281856"/>
        <c:scaling>
          <c:orientation val="minMax"/>
          <c:min val="6000"/>
        </c:scaling>
        <c:delete val="0"/>
        <c:axPos val="l"/>
        <c:numFmt formatCode="General" sourceLinked="1"/>
        <c:majorTickMark val="out"/>
        <c:minorTickMark val="none"/>
        <c:tickLblPos val="nextTo"/>
        <c:crossAx val="1828894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'[16]7-1答案'!$I$5</c:f>
              <c:strCache>
                <c:ptCount val="1"/>
                <c:pt idx="0">
                  <c:v>利润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'[16]7-1答案'!$H$7:$H$20</c:f>
              <c:numCache>
                <c:formatCode>General</c:formatCode>
                <c:ptCount val="14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</c:numCache>
            </c:numRef>
          </c:xVal>
          <c:yVal>
            <c:numRef>
              <c:f>'[16]7-1答案'!$I$7:$I$20</c:f>
              <c:numCache>
                <c:formatCode>General</c:formatCode>
                <c:ptCount val="14"/>
                <c:pt idx="0">
                  <c:v>269070.76057536207</c:v>
                </c:pt>
                <c:pt idx="1">
                  <c:v>533263.14774424664</c:v>
                </c:pt>
                <c:pt idx="2">
                  <c:v>752577.16150665376</c:v>
                </c:pt>
                <c:pt idx="3">
                  <c:v>927012.80186258338</c:v>
                </c:pt>
                <c:pt idx="4">
                  <c:v>1056570.0688120355</c:v>
                </c:pt>
                <c:pt idx="5">
                  <c:v>1141248.9623550102</c:v>
                </c:pt>
                <c:pt idx="6">
                  <c:v>1181049.4824915077</c:v>
                </c:pt>
                <c:pt idx="7">
                  <c:v>1175971.6292215274</c:v>
                </c:pt>
                <c:pt idx="8">
                  <c:v>1126015.4025450696</c:v>
                </c:pt>
                <c:pt idx="9">
                  <c:v>1031180.802462134</c:v>
                </c:pt>
                <c:pt idx="10">
                  <c:v>891467.82897272194</c:v>
                </c:pt>
                <c:pt idx="11">
                  <c:v>706876.48207683174</c:v>
                </c:pt>
                <c:pt idx="12">
                  <c:v>477406.76177446416</c:v>
                </c:pt>
                <c:pt idx="13">
                  <c:v>203058.66806561907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921-4B7E-91DB-72B86556DA95}"/>
            </c:ext>
          </c:extLst>
        </c:ser>
        <c:ser>
          <c:idx val="1"/>
          <c:order val="1"/>
          <c:tx>
            <c:v>最优产量垂直参考线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('[16]7-1答案'!$F$13,'[16]7-1答案'!$F$13)</c:f>
              <c:numCache>
                <c:formatCode>General</c:formatCode>
                <c:ptCount val="2"/>
                <c:pt idx="0">
                  <c:v>738.68530010214818</c:v>
                </c:pt>
                <c:pt idx="1">
                  <c:v>738.68530010214818</c:v>
                </c:pt>
              </c:numCache>
            </c:numRef>
          </c:xVal>
          <c:yVal>
            <c:numLit>
              <c:formatCode>General</c:formatCode>
              <c:ptCount val="2"/>
              <c:pt idx="0">
                <c:v>1200000</c:v>
              </c:pt>
              <c:pt idx="1">
                <c:v>200000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6921-4B7E-91DB-72B86556DA9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0563193556015398"/>
                  <c:y val="0.14847168378855169"/>
                </c:manualLayout>
              </c:layout>
              <c:tx>
                <c:rich>
                  <a:bodyPr rot="0" spcFirstLastPara="1" vertOverflow="clip" horzOverflow="clip" vert="horz" wrap="square" lIns="0" tIns="0" rIns="0" bIns="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zh-CN" altLang="en-US"/>
                      <a:t>产量</a:t>
                    </a:r>
                    <a:r>
                      <a:rPr lang="en-US" altLang="zh-CN"/>
                      <a:t>=</a:t>
                    </a:r>
                    <a:fld id="{41F61B63-B9FC-4B02-91BE-D0CAD61D0F50}" type="XVALUE">
                      <a:rPr lang="en-US" altLang="zh-CN"/>
                      <a:pPr>
                        <a:defRPr/>
                      </a:pPr>
                      <a:t>[X 值]</a:t>
                    </a:fld>
                    <a:r>
                      <a:rPr lang="en-US" altLang="zh-CN" baseline="0"/>
                      <a:t>,</a:t>
                    </a:r>
                    <a:br>
                      <a:rPr lang="en-US" altLang="zh-CN" baseline="0"/>
                    </a:br>
                    <a:r>
                      <a:rPr lang="zh-CN" altLang="en-US" baseline="0"/>
                      <a:t>利润</a:t>
                    </a:r>
                    <a:r>
                      <a:rPr lang="en-US" altLang="zh-CN" baseline="0"/>
                      <a:t>= </a:t>
                    </a:r>
                    <a:fld id="{2FBFB3C7-682F-451B-A84B-C157F52CF09B}" type="YVALUE">
                      <a:rPr lang="en-US" altLang="zh-CN" baseline="0"/>
                      <a:pPr>
                        <a:defRPr/>
                      </a:pPr>
                      <a:t>[Y 值]</a:t>
                    </a:fld>
                    <a:endParaRPr lang="en-US" altLang="zh-CN" baseline="0"/>
                  </a:p>
                </c:rich>
              </c:tx>
              <c:spPr>
                <a:solidFill>
                  <a:sysClr val="window" lastClr="FFFFFF">
                    <a:alpha val="33000"/>
                  </a:sysClr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0" tIns="0" rIns="0" bIns="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4239501312335957"/>
                      <c:h val="0.14626833374288931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6921-4B7E-91DB-72B86556DA95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'[16]7-1答案'!$F$5</c:f>
              <c:numCache>
                <c:formatCode>General</c:formatCode>
                <c:ptCount val="1"/>
                <c:pt idx="0">
                  <c:v>600</c:v>
                </c:pt>
              </c:numCache>
            </c:numRef>
          </c:xVal>
          <c:yVal>
            <c:numRef>
              <c:f>'[16]7-1答案'!$F$11</c:f>
              <c:numCache>
                <c:formatCode>General</c:formatCode>
                <c:ptCount val="1"/>
                <c:pt idx="0">
                  <c:v>1141248.9623550102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921-4B7E-91DB-72B86556DA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7259920"/>
        <c:axId val="1547256656"/>
      </c:scatterChart>
      <c:valAx>
        <c:axId val="1547259920"/>
        <c:scaling>
          <c:orientation val="minMax"/>
          <c:max val="1400"/>
          <c:min val="100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47256656"/>
        <c:crosses val="autoZero"/>
        <c:crossBetween val="midCat"/>
      </c:valAx>
      <c:valAx>
        <c:axId val="1547256656"/>
        <c:scaling>
          <c:orientation val="minMax"/>
          <c:max val="1200000"/>
          <c:min val="20000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47259920"/>
        <c:crosses val="autoZero"/>
        <c:crossBetween val="midCat"/>
        <c:majorUnit val="2000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经过</a:t>
            </a:r>
            <a:r>
              <a:rPr lang="en-US" altLang="zh-CN"/>
              <a:t>50</a:t>
            </a:r>
            <a:r>
              <a:rPr lang="zh-CN" altLang="en-US"/>
              <a:t>次模拟的年总成本的均值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7623169021680513"/>
          <c:y val="0.23510260881819303"/>
          <c:w val="0.73503901053464205"/>
          <c:h val="0.55528721661470171"/>
        </c:manualLayout>
      </c:layout>
      <c:scatterChart>
        <c:scatterStyle val="smoothMarker"/>
        <c:varyColors val="0"/>
        <c:ser>
          <c:idx val="0"/>
          <c:order val="0"/>
          <c:marker>
            <c:symbol val="circle"/>
            <c:size val="10"/>
            <c:spPr>
              <a:solidFill>
                <a:schemeClr val="bg1"/>
              </a:solidFill>
            </c:spPr>
          </c:marker>
          <c:xVal>
            <c:numRef>
              <c:f>[17]第8题答案!$T$2:$Z$2</c:f>
              <c:numCache>
                <c:formatCode>General</c:formatCode>
                <c:ptCount val="7"/>
                <c:pt idx="0">
                  <c:v>380</c:v>
                </c:pt>
                <c:pt idx="1">
                  <c:v>390</c:v>
                </c:pt>
                <c:pt idx="2">
                  <c:v>400</c:v>
                </c:pt>
                <c:pt idx="3">
                  <c:v>410</c:v>
                </c:pt>
                <c:pt idx="4">
                  <c:v>420</c:v>
                </c:pt>
                <c:pt idx="5">
                  <c:v>430</c:v>
                </c:pt>
                <c:pt idx="6">
                  <c:v>440</c:v>
                </c:pt>
              </c:numCache>
            </c:numRef>
          </c:xVal>
          <c:yVal>
            <c:numRef>
              <c:f>[17]第8题答案!$T$3:$Z$3</c:f>
              <c:numCache>
                <c:formatCode>General</c:formatCode>
                <c:ptCount val="7"/>
                <c:pt idx="0">
                  <c:v>40043.445799999994</c:v>
                </c:pt>
                <c:pt idx="1">
                  <c:v>41618.528400000003</c:v>
                </c:pt>
                <c:pt idx="2">
                  <c:v>42524.313199999997</c:v>
                </c:pt>
                <c:pt idx="3">
                  <c:v>42998.074200000003</c:v>
                </c:pt>
                <c:pt idx="4">
                  <c:v>44088.046000000017</c:v>
                </c:pt>
                <c:pt idx="5">
                  <c:v>44848.837199999994</c:v>
                </c:pt>
                <c:pt idx="6">
                  <c:v>45659.710599999999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52C-4B42-8276-448615C67F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474048"/>
        <c:axId val="203474624"/>
      </c:scatterChart>
      <c:valAx>
        <c:axId val="203474048"/>
        <c:scaling>
          <c:orientation val="minMax"/>
          <c:max val="450"/>
          <c:min val="37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一次订货的订货成本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3474624"/>
        <c:crosses val="autoZero"/>
        <c:crossBetween val="midCat"/>
        <c:majorUnit val="10"/>
      </c:valAx>
      <c:valAx>
        <c:axId val="203474624"/>
        <c:scaling>
          <c:orientation val="minMax"/>
        </c:scaling>
        <c:delete val="0"/>
        <c:axPos val="l"/>
        <c:title>
          <c:tx>
            <c:rich>
              <a:bodyPr rot="0" vert="wordArtVertRtl"/>
              <a:lstStyle/>
              <a:p>
                <a:pPr>
                  <a:defRPr/>
                </a:pPr>
                <a:r>
                  <a:rPr lang="zh-CN" altLang="en-US"/>
                  <a:t>年总成本</a:t>
                </a:r>
              </a:p>
            </c:rich>
          </c:tx>
          <c:layout>
            <c:manualLayout>
              <c:xMode val="edge"/>
              <c:yMode val="edge"/>
              <c:x val="3.7820731312695512E-2"/>
              <c:y val="0.3123546301678733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03474048"/>
        <c:crosses val="autoZero"/>
        <c:crossBetween val="midCat"/>
      </c:valAx>
    </c:plotArea>
    <c:plotVisOnly val="1"/>
    <c:dispBlanksAs val="gap"/>
    <c:showDLblsOverMax val="0"/>
  </c:chart>
  <c:spPr>
    <a:ln>
      <a:solidFill>
        <a:schemeClr val="tx1"/>
      </a:solidFill>
    </a:ln>
  </c:spPr>
  <c:txPr>
    <a:bodyPr/>
    <a:lstStyle/>
    <a:p>
      <a:pPr>
        <a:defRPr sz="1100">
          <a:latin typeface="+mn-ea"/>
          <a:ea typeface="+mn-ea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Style="combo" dx="16" fmlaLink="$N$1" fmlaRange="$J$7:$J$16" noThreeD="1" sel="3" val="2"/>
</file>

<file path=xl/ctrlProps/ctrlProp2.xml><?xml version="1.0" encoding="utf-8"?>
<formControlPr xmlns="http://schemas.microsoft.com/office/spreadsheetml/2009/9/main" objectType="Spin" dx="31" fmlaLink="$D$2" inc="100" max="5000" page="10" val="3000"/>
</file>

<file path=xl/ctrlProps/ctrlProp3.xml><?xml version="1.0" encoding="utf-8"?>
<formControlPr xmlns="http://schemas.microsoft.com/office/spreadsheetml/2009/9/main" objectType="Scroll" dx="22" fmlaLink="$F$5" horiz="1" inc="25" max="1200" min="200" noThreeD="1" page="0" val="600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gif"/><Relationship Id="rId1" Type="http://schemas.openxmlformats.org/officeDocument/2006/relationships/chart" Target="../charts/chart2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424</xdr:row>
      <xdr:rowOff>0</xdr:rowOff>
    </xdr:from>
    <xdr:to>
      <xdr:col>11</xdr:col>
      <xdr:colOff>514350</xdr:colOff>
      <xdr:row>430</xdr:row>
      <xdr:rowOff>66675</xdr:rowOff>
    </xdr:to>
    <xdr:pic>
      <xdr:nvPicPr>
        <xdr:cNvPr id="2" name="图片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0" y="76733400"/>
          <a:ext cx="4629150" cy="1095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676275</xdr:colOff>
      <xdr:row>1</xdr:row>
      <xdr:rowOff>95250</xdr:rowOff>
    </xdr:from>
    <xdr:to>
      <xdr:col>20</xdr:col>
      <xdr:colOff>47625</xdr:colOff>
      <xdr:row>29</xdr:row>
      <xdr:rowOff>76200</xdr:rowOff>
    </xdr:to>
    <xdr:grpSp>
      <xdr:nvGrpSpPr>
        <xdr:cNvPr id="3" name="组合 2"/>
        <xdr:cNvGrpSpPr/>
      </xdr:nvGrpSpPr>
      <xdr:grpSpPr>
        <a:xfrm>
          <a:off x="11268075" y="266700"/>
          <a:ext cx="5543550" cy="4781550"/>
          <a:chOff x="11277600" y="400050"/>
          <a:chExt cx="5543550" cy="5048250"/>
        </a:xfrm>
      </xdr:grpSpPr>
      <xdr:sp macro="" textlink="">
        <xdr:nvSpPr>
          <xdr:cNvPr id="4" name="文本框 3"/>
          <xdr:cNvSpPr txBox="1"/>
        </xdr:nvSpPr>
        <xdr:spPr>
          <a:xfrm>
            <a:off x="11277600" y="400050"/>
            <a:ext cx="5543550" cy="5048250"/>
          </a:xfrm>
          <a:prstGeom prst="rect">
            <a:avLst/>
          </a:prstGeom>
          <a:solidFill>
            <a:srgbClr val="CCFF99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zh-CN" altLang="en-US" sz="1100" b="0"/>
              <a:t>第</a:t>
            </a:r>
            <a:r>
              <a:rPr lang="en-US" altLang="zh-CN" sz="1100" b="0"/>
              <a:t>1</a:t>
            </a:r>
            <a:r>
              <a:rPr lang="zh-CN" altLang="en-US" sz="1100" b="0"/>
              <a:t>题</a:t>
            </a:r>
            <a:r>
              <a:rPr lang="zh-CN" altLang="en-US" sz="1100" b="0">
                <a:solidFill>
                  <a:srgbClr val="FF0000"/>
                </a:solidFill>
              </a:rPr>
              <a:t>（</a:t>
            </a:r>
            <a:r>
              <a:rPr lang="en-US" altLang="zh-CN" sz="1100" b="0">
                <a:solidFill>
                  <a:srgbClr val="FF0000"/>
                </a:solidFill>
              </a:rPr>
              <a:t>11</a:t>
            </a:r>
            <a:r>
              <a:rPr lang="zh-CN" altLang="en-US" sz="1100" b="0">
                <a:solidFill>
                  <a:srgbClr val="FF0000"/>
                </a:solidFill>
              </a:rPr>
              <a:t>分）</a:t>
            </a:r>
            <a:r>
              <a:rPr lang="zh-CN" altLang="en-US" sz="1100" b="0"/>
              <a:t>在本工作表中完成如下的数据查询和数据透视表：</a:t>
            </a:r>
            <a:endParaRPr lang="en-US" altLang="zh-CN" sz="1100" b="0"/>
          </a:p>
          <a:p>
            <a:r>
              <a:rPr lang="zh-CN" altLang="en-US" sz="1100" b="0"/>
              <a:t>（</a:t>
            </a:r>
            <a:r>
              <a:rPr lang="en-US" altLang="zh-CN" sz="1100" b="0"/>
              <a:t>1</a:t>
            </a:r>
            <a:r>
              <a:rPr lang="zh-CN" altLang="en-US" sz="1100" b="0"/>
              <a:t>）利用</a:t>
            </a:r>
            <a:r>
              <a:rPr lang="en-US" altLang="zh-CN" sz="1100" b="0"/>
              <a:t>Northwind</a:t>
            </a:r>
            <a:r>
              <a:rPr lang="zh-CN" altLang="en-US" sz="1100" b="0"/>
              <a:t>数据库，查询客户在</a:t>
            </a:r>
            <a:r>
              <a:rPr lang="en-US" altLang="zh-CN" sz="1100" b="0"/>
              <a:t>1996</a:t>
            </a:r>
            <a:r>
              <a:rPr lang="zh-CN" altLang="en-US" sz="1100" b="0"/>
              <a:t>年下半年订购的所有订单的信息，包括：</a:t>
            </a:r>
            <a:r>
              <a:rPr lang="zh-CN" altLang="zh-CN" sz="1100" b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订购日期、</a:t>
            </a:r>
            <a:r>
              <a:rPr lang="zh-CN" altLang="en-US" sz="1100" b="0"/>
              <a:t>订单</a:t>
            </a:r>
            <a:r>
              <a:rPr lang="en-US" altLang="zh-CN" sz="1100" b="0"/>
              <a:t>ID</a:t>
            </a:r>
            <a:r>
              <a:rPr lang="zh-CN" altLang="en-US" sz="1100" b="0"/>
              <a:t>、产品的类别名称、销售额和数量等数据，并按订购日期和订单</a:t>
            </a:r>
            <a:r>
              <a:rPr lang="en-US" altLang="zh-CN" sz="1100" b="0"/>
              <a:t>ID</a:t>
            </a:r>
            <a:r>
              <a:rPr lang="zh-CN" altLang="en-US" sz="1100" b="0"/>
              <a:t>的升序排序，查询结果导入到本工作表</a:t>
            </a:r>
            <a:r>
              <a:rPr lang="en-US" altLang="zh-CN" sz="1100" b="0"/>
              <a:t>A1</a:t>
            </a:r>
            <a:r>
              <a:rPr lang="zh-CN" altLang="en-US" sz="1100" b="0"/>
              <a:t>单元格开始处，样张中的</a:t>
            </a:r>
            <a:r>
              <a:rPr lang="en-US" altLang="zh-CN" sz="1100" b="0"/>
              <a:t>XXXXX</a:t>
            </a:r>
            <a:r>
              <a:rPr lang="zh-CN" altLang="en-US" sz="1100" b="0"/>
              <a:t>指具体的数据。</a:t>
            </a:r>
            <a:endParaRPr lang="en-US" altLang="zh-CN" sz="1100" b="0"/>
          </a:p>
          <a:p>
            <a:endParaRPr lang="en-US" altLang="zh-CN" sz="1100" b="0"/>
          </a:p>
          <a:p>
            <a:endParaRPr lang="en-US" altLang="zh-CN" sz="1100" b="0"/>
          </a:p>
          <a:p>
            <a:endParaRPr lang="en-US" altLang="zh-CN" sz="1100" b="0"/>
          </a:p>
          <a:p>
            <a:endParaRPr lang="en-US" altLang="zh-CN" sz="1100" b="0"/>
          </a:p>
          <a:p>
            <a:endParaRPr lang="en-US" altLang="zh-CN" sz="1100" b="0"/>
          </a:p>
          <a:p>
            <a:endParaRPr lang="en-US" altLang="zh-CN" sz="1100" b="0"/>
          </a:p>
          <a:p>
            <a:endParaRPr lang="en-US" altLang="zh-CN" sz="1100" b="0"/>
          </a:p>
          <a:p>
            <a:endParaRPr lang="en-US" altLang="zh-CN" sz="1100" b="0"/>
          </a:p>
          <a:p>
            <a:r>
              <a:rPr lang="zh-CN" altLang="en-US" sz="1100" b="0"/>
              <a:t>（</a:t>
            </a:r>
            <a:r>
              <a:rPr lang="en-US" altLang="zh-CN" sz="1100" b="0"/>
              <a:t>2</a:t>
            </a:r>
            <a:r>
              <a:rPr lang="zh-CN" altLang="en-US" sz="1100" b="0"/>
              <a:t>）利用第</a:t>
            </a:r>
            <a:r>
              <a:rPr lang="en-US" altLang="zh-CN" sz="1100" b="0"/>
              <a:t>1</a:t>
            </a:r>
            <a:r>
              <a:rPr lang="zh-CN" altLang="en-US" sz="1100" b="0"/>
              <a:t>小题的查询结果，在本工作表中完成如下的数据透视表（其中总数量在</a:t>
            </a:r>
            <a:r>
              <a:rPr lang="en-US" altLang="zh-CN" sz="1100" b="0"/>
              <a:t>1000</a:t>
            </a:r>
            <a:r>
              <a:rPr lang="zh-CN" altLang="en-US" sz="1100" b="0"/>
              <a:t>以上的那些商品是热销类商品，</a:t>
            </a:r>
            <a:r>
              <a:rPr lang="zh-CN" altLang="en-US" sz="1100" b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其余为普通类商品）。</a:t>
            </a:r>
            <a:endParaRPr lang="en-US" altLang="zh-CN" sz="1100" b="0"/>
          </a:p>
          <a:p>
            <a:endParaRPr lang="en-US" altLang="zh-CN" sz="1100" b="0"/>
          </a:p>
          <a:p>
            <a:endParaRPr lang="en-US" altLang="zh-CN" sz="1100" b="0"/>
          </a:p>
          <a:p>
            <a:endParaRPr lang="en-US" altLang="zh-CN" sz="1100" b="0"/>
          </a:p>
          <a:p>
            <a:endParaRPr lang="en-US" altLang="zh-CN" sz="1100" b="0"/>
          </a:p>
          <a:p>
            <a:endParaRPr lang="en-US" altLang="zh-CN" sz="1100" b="0"/>
          </a:p>
          <a:p>
            <a:endParaRPr lang="en-US" altLang="zh-CN" sz="1100" b="0"/>
          </a:p>
          <a:p>
            <a:endParaRPr lang="en-US" altLang="zh-CN" sz="1100" b="0"/>
          </a:p>
          <a:p>
            <a:endParaRPr lang="en-US" altLang="zh-CN" sz="1100" b="0"/>
          </a:p>
          <a:p>
            <a:endParaRPr lang="en-US" altLang="zh-CN" sz="1100" b="0"/>
          </a:p>
          <a:p>
            <a:endParaRPr lang="zh-CN" altLang="en-US" sz="1100" b="0"/>
          </a:p>
        </xdr:txBody>
      </xdr:sp>
      <xdr:pic>
        <xdr:nvPicPr>
          <xdr:cNvPr id="5" name="图片 4"/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753850" y="1343025"/>
            <a:ext cx="4629150" cy="10953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6" name="图片 5"/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1858625" y="3038475"/>
            <a:ext cx="4485714" cy="2266667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142874</xdr:colOff>
      <xdr:row>17</xdr:row>
      <xdr:rowOff>166686</xdr:rowOff>
    </xdr:from>
    <xdr:to>
      <xdr:col>22</xdr:col>
      <xdr:colOff>161925</xdr:colOff>
      <xdr:row>33</xdr:row>
      <xdr:rowOff>133350</xdr:rowOff>
    </xdr:to>
    <xdr:grpSp>
      <xdr:nvGrpSpPr>
        <xdr:cNvPr id="5" name="组合 4"/>
        <xdr:cNvGrpSpPr/>
      </xdr:nvGrpSpPr>
      <xdr:grpSpPr>
        <a:xfrm>
          <a:off x="8372474" y="3567111"/>
          <a:ext cx="6877051" cy="3167064"/>
          <a:chOff x="8372474" y="3567111"/>
          <a:chExt cx="6877051" cy="3167064"/>
        </a:xfrm>
      </xdr:grpSpPr>
      <xdr:graphicFrame macro="">
        <xdr:nvGraphicFramePr>
          <xdr:cNvPr id="6" name="图表 5"/>
          <xdr:cNvGraphicFramePr/>
        </xdr:nvGraphicFramePr>
        <xdr:xfrm>
          <a:off x="8372474" y="3567111"/>
          <a:ext cx="6877051" cy="316706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2049" name="Drop Down 1" hidden="1">
                <a:extLst>
                  <a:ext uri="{63B3BB69-23CF-44E3-9099-C40C66FF867C}">
                    <a14:compatExt spid="_x0000_s2049"/>
                  </a:ext>
                </a:extLst>
              </xdr:cNvPr>
              <xdr:cNvSpPr/>
            </xdr:nvSpPr>
            <xdr:spPr bwMode="auto">
              <a:xfrm>
                <a:off x="13458825" y="3752850"/>
                <a:ext cx="1438275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</xdr:grpSp>
    <xdr:clientData/>
  </xdr:twoCellAnchor>
  <xdr:twoCellAnchor>
    <xdr:from>
      <xdr:col>0</xdr:col>
      <xdr:colOff>0</xdr:colOff>
      <xdr:row>17</xdr:row>
      <xdr:rowOff>47625</xdr:rowOff>
    </xdr:from>
    <xdr:to>
      <xdr:col>8</xdr:col>
      <xdr:colOff>219075</xdr:colOff>
      <xdr:row>36</xdr:row>
      <xdr:rowOff>47625</xdr:rowOff>
    </xdr:to>
    <xdr:grpSp>
      <xdr:nvGrpSpPr>
        <xdr:cNvPr id="2" name="组合 1"/>
        <xdr:cNvGrpSpPr/>
      </xdr:nvGrpSpPr>
      <xdr:grpSpPr>
        <a:xfrm>
          <a:off x="0" y="3448050"/>
          <a:ext cx="5705475" cy="3800475"/>
          <a:chOff x="733425" y="2943225"/>
          <a:chExt cx="5705475" cy="3800475"/>
        </a:xfrm>
      </xdr:grpSpPr>
      <xdr:sp macro="" textlink="">
        <xdr:nvSpPr>
          <xdr:cNvPr id="4" name="Text Box 7"/>
          <xdr:cNvSpPr txBox="1">
            <a:spLocks noChangeArrowheads="1"/>
          </xdr:cNvSpPr>
        </xdr:nvSpPr>
        <xdr:spPr bwMode="auto">
          <a:xfrm>
            <a:off x="733425" y="2943225"/>
            <a:ext cx="5705475" cy="38004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72000" tIns="72000" rIns="0" bIns="0" anchor="t" upright="1"/>
          <a:lstStyle/>
          <a:p>
            <a:pPr algn="l" rtl="0">
              <a:lnSpc>
                <a:spcPts val="1200"/>
              </a:lnSpc>
              <a:defRPr sz="1000"/>
            </a:pPr>
            <a:r>
              <a:rPr lang="zh-CN" altLang="en-US" sz="12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第</a:t>
            </a:r>
            <a:r>
              <a:rPr lang="en-US" altLang="zh-CN" sz="12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2</a:t>
            </a:r>
            <a:r>
              <a:rPr lang="zh-CN" altLang="en-US" sz="12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题（</a:t>
            </a:r>
            <a:r>
              <a:rPr lang="en-US" altLang="zh-CN" sz="12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15</a:t>
            </a:r>
            <a:r>
              <a:rPr lang="zh-CN" altLang="en-US" sz="12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分）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/>
                <a:ea typeface="+mn-ea"/>
              </a:rPr>
              <a:t>根据本工作表数据，</a:t>
            </a:r>
            <a:endParaRPr lang="en-US" altLang="zh-CN" sz="1200" b="0" i="0" u="none" strike="noStrike" baseline="0">
              <a:solidFill>
                <a:srgbClr val="000000"/>
              </a:solidFill>
              <a:latin typeface="宋体"/>
              <a:ea typeface="+mn-ea"/>
            </a:endParaRPr>
          </a:p>
          <a:p>
            <a:pPr algn="l" rtl="0">
              <a:lnSpc>
                <a:spcPts val="1200"/>
              </a:lnSpc>
              <a:defRPr sz="1000"/>
            </a:pPr>
            <a:r>
              <a:rPr lang="en-US" altLang="zh-CN" sz="1200" b="0" i="0" u="none" strike="noStrike" baseline="0">
                <a:solidFill>
                  <a:srgbClr val="000000"/>
                </a:solidFill>
                <a:latin typeface="宋体"/>
                <a:ea typeface="+mn-ea"/>
              </a:rPr>
              <a:t>1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/>
                <a:ea typeface="+mn-ea"/>
              </a:rPr>
              <a:t>、利用</a:t>
            </a:r>
            <a:r>
              <a:rPr lang="en-US" altLang="zh-CN" sz="1200" b="0" i="0" u="none" strike="noStrike" baseline="0">
                <a:solidFill>
                  <a:srgbClr val="000000"/>
                </a:solidFill>
                <a:latin typeface="宋体"/>
                <a:ea typeface="+mn-ea"/>
              </a:rPr>
              <a:t>D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/>
                <a:ea typeface="+mn-ea"/>
              </a:rPr>
              <a:t>函数和模拟运算表，统计各行业的平均工资，绘制如图所示的柱形图。</a:t>
            </a:r>
            <a:endParaRPr lang="en-US" altLang="zh-CN" sz="1200" b="0" i="0" u="none" strike="noStrike" baseline="0">
              <a:solidFill>
                <a:srgbClr val="000000"/>
              </a:solidFill>
              <a:latin typeface="宋体"/>
              <a:ea typeface="+mn-ea"/>
            </a:endParaRPr>
          </a:p>
          <a:p>
            <a:pPr algn="l" rtl="0">
              <a:lnSpc>
                <a:spcPts val="1200"/>
              </a:lnSpc>
              <a:defRPr sz="1000"/>
            </a:pPr>
            <a:r>
              <a:rPr lang="en-US" altLang="zh-CN" sz="1200" b="0" i="0" u="none" strike="noStrike" baseline="0">
                <a:solidFill>
                  <a:srgbClr val="000000"/>
                </a:solidFill>
                <a:latin typeface="宋体"/>
                <a:ea typeface="+mn-ea"/>
              </a:rPr>
              <a:t>2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/>
                <a:ea typeface="+mn-ea"/>
              </a:rPr>
              <a:t>、利用组合框，对行业进行选择，针对所选择的行业，图形中对应的柱子由蓝色变成红色</a:t>
            </a:r>
          </a:p>
        </xdr:txBody>
      </xdr:sp>
      <xdr:pic>
        <xdr:nvPicPr>
          <xdr:cNvPr id="8" name="图片 7"/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875867" y="3657599"/>
            <a:ext cx="5420590" cy="2906163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0</xdr:row>
      <xdr:rowOff>104775</xdr:rowOff>
    </xdr:from>
    <xdr:to>
      <xdr:col>13</xdr:col>
      <xdr:colOff>457200</xdr:colOff>
      <xdr:row>10</xdr:row>
      <xdr:rowOff>95250</xdr:rowOff>
    </xdr:to>
    <xdr:sp macro="" textlink="">
      <xdr:nvSpPr>
        <xdr:cNvPr id="3" name="TextBox 1"/>
        <xdr:cNvSpPr txBox="1"/>
      </xdr:nvSpPr>
      <xdr:spPr>
        <a:xfrm>
          <a:off x="4943475" y="104775"/>
          <a:ext cx="4533900" cy="170497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/>
            <a:t>【</a:t>
          </a:r>
          <a:r>
            <a:rPr lang="zh-CN" altLang="en-US" sz="1100"/>
            <a:t>第</a:t>
          </a:r>
          <a:r>
            <a:rPr lang="en-US" altLang="zh-CN" sz="1100"/>
            <a:t>3</a:t>
          </a:r>
          <a:r>
            <a:rPr lang="zh-CN" altLang="en-US" sz="1100"/>
            <a:t>题</a:t>
          </a:r>
          <a:r>
            <a:rPr lang="en-US" altLang="zh-CN" sz="1100"/>
            <a:t>】</a:t>
          </a:r>
          <a:r>
            <a:rPr lang="zh-CN" altLang="en-US" sz="1100"/>
            <a:t>（</a:t>
          </a:r>
          <a:r>
            <a:rPr lang="en-US" altLang="zh-CN" sz="1100"/>
            <a:t>12</a:t>
          </a:r>
          <a:r>
            <a:rPr lang="zh-CN" altLang="en-US" sz="1100"/>
            <a:t>分）某公司过去</a:t>
          </a:r>
          <a:r>
            <a:rPr lang="en-US" altLang="zh-CN" sz="1100"/>
            <a:t>9</a:t>
          </a:r>
          <a:r>
            <a:rPr lang="zh-CN" altLang="en-US" sz="1100"/>
            <a:t>年的产品销售量资料如单元格</a:t>
          </a:r>
          <a:r>
            <a:rPr lang="en-US" altLang="zh-CN" sz="1100"/>
            <a:t>A1:B10</a:t>
          </a:r>
          <a:r>
            <a:rPr lang="zh-CN" altLang="en-US" sz="1100"/>
            <a:t>中所示，要求：</a:t>
          </a:r>
          <a:endParaRPr lang="en-US" altLang="zh-CN" sz="1100"/>
        </a:p>
        <a:p>
          <a:r>
            <a:rPr lang="zh-CN" altLang="en-US" sz="1100"/>
            <a:t>（</a:t>
          </a:r>
          <a:r>
            <a:rPr lang="en-US" altLang="zh-CN" sz="1100"/>
            <a:t>1</a:t>
          </a:r>
          <a:r>
            <a:rPr lang="zh-CN" altLang="en-US" sz="1100"/>
            <a:t>）在</a:t>
          </a:r>
          <a:r>
            <a:rPr lang="en-US" altLang="zh-CN" sz="1100"/>
            <a:t>F3</a:t>
          </a:r>
          <a:r>
            <a:rPr lang="zh-CN" altLang="en-US" sz="1100"/>
            <a:t>单元格中输入</a:t>
          </a:r>
          <a:r>
            <a:rPr lang="en-US" altLang="zh-CN" sz="1100"/>
            <a:t>2-5</a:t>
          </a:r>
          <a:r>
            <a:rPr lang="zh-CN" altLang="en-US" sz="1100"/>
            <a:t>中的任意一个整数，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用移动平均模型预测第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年的销量，并计算相应的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MSE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；</a:t>
          </a:r>
          <a:endParaRPr lang="en-US" altLang="zh-C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（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）运用模拟运算表计算不同时间间隔对应的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MSE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，并用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index()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函数找出最优的时间间隔；</a:t>
          </a:r>
          <a:endParaRPr lang="en-US" altLang="zh-C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（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）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计算第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年的最优预测值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。</a:t>
          </a:r>
          <a:endParaRPr lang="zh-CN" altLang="zh-CN">
            <a:effectLst/>
          </a:endParaRPr>
        </a:p>
        <a:p>
          <a:endParaRPr lang="zh-CN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</xdr:colOff>
      <xdr:row>5</xdr:row>
      <xdr:rowOff>152400</xdr:rowOff>
    </xdr:from>
    <xdr:to>
      <xdr:col>13</xdr:col>
      <xdr:colOff>295275</xdr:colOff>
      <xdr:row>20</xdr:row>
      <xdr:rowOff>12700</xdr:rowOff>
    </xdr:to>
    <xdr:grpSp>
      <xdr:nvGrpSpPr>
        <xdr:cNvPr id="2" name="组合 1"/>
        <xdr:cNvGrpSpPr/>
      </xdr:nvGrpSpPr>
      <xdr:grpSpPr>
        <a:xfrm>
          <a:off x="5572125" y="1114425"/>
          <a:ext cx="4572000" cy="2717800"/>
          <a:chOff x="5572125" y="1114425"/>
          <a:chExt cx="4572000" cy="2717800"/>
        </a:xfrm>
      </xdr:grpSpPr>
      <xdr:sp macro="" textlink="">
        <xdr:nvSpPr>
          <xdr:cNvPr id="4" name="TextBox 8"/>
          <xdr:cNvSpPr txBox="1"/>
        </xdr:nvSpPr>
        <xdr:spPr>
          <a:xfrm>
            <a:off x="5572125" y="1114425"/>
            <a:ext cx="4572000" cy="2717800"/>
          </a:xfrm>
          <a:prstGeom prst="rect">
            <a:avLst/>
          </a:prstGeom>
          <a:solidFill>
            <a:srgbClr val="FFCCCC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zh-CN" altLang="en-US" sz="1200" b="1"/>
              <a:t>第</a:t>
            </a:r>
            <a:r>
              <a:rPr lang="en-US" altLang="zh-CN" sz="1200" b="1"/>
              <a:t>4</a:t>
            </a:r>
            <a:r>
              <a:rPr lang="zh-CN" altLang="en-US" sz="1200" b="1"/>
              <a:t>题（</a:t>
            </a:r>
            <a:r>
              <a:rPr lang="en-US" altLang="zh-CN" sz="1200" b="1"/>
              <a:t>12</a:t>
            </a:r>
            <a:r>
              <a:rPr lang="zh-CN" altLang="en-US" sz="1200" b="1"/>
              <a:t>分）  </a:t>
            </a:r>
            <a:r>
              <a:rPr lang="zh-CN" altLang="en-US" sz="1200"/>
              <a:t>某公司生产两种产品：产品</a:t>
            </a:r>
            <a:r>
              <a:rPr lang="en-US" altLang="zh-CN" sz="1200"/>
              <a:t>A</a:t>
            </a:r>
            <a:r>
              <a:rPr lang="zh-CN" altLang="en-US" sz="1200"/>
              <a:t>和产品</a:t>
            </a:r>
            <a:r>
              <a:rPr lang="en-US" altLang="zh-CN" sz="1200"/>
              <a:t>B</a:t>
            </a:r>
            <a:r>
              <a:rPr lang="zh-CN" altLang="en-US" sz="1200"/>
              <a:t>。产品</a:t>
            </a:r>
            <a:r>
              <a:rPr lang="en-US" altLang="zh-CN" sz="1200"/>
              <a:t>A</a:t>
            </a:r>
            <a:r>
              <a:rPr lang="zh-CN" altLang="en-US" sz="1200"/>
              <a:t>和产品</a:t>
            </a:r>
            <a:r>
              <a:rPr lang="en-US" altLang="zh-CN" sz="1200"/>
              <a:t>B</a:t>
            </a:r>
            <a:r>
              <a:rPr lang="zh-CN" altLang="zh-CN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的固定成本</a:t>
            </a:r>
            <a:r>
              <a:rPr lang="zh-CN" altLang="en-US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分别为</a:t>
            </a:r>
            <a:r>
              <a:rPr lang="en-US" altLang="zh-CN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15000</a:t>
            </a:r>
            <a:r>
              <a:rPr lang="zh-CN" altLang="en-US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元和</a:t>
            </a:r>
            <a:r>
              <a:rPr lang="en-US" altLang="zh-CN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35000</a:t>
            </a:r>
            <a:r>
              <a:rPr lang="zh-CN" altLang="en-US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元，</a:t>
            </a:r>
            <a:r>
              <a:rPr lang="zh-CN" altLang="en-US" sz="1200"/>
              <a:t>当前生产量为</a:t>
            </a:r>
            <a:r>
              <a:rPr lang="en-US" altLang="zh-CN" sz="1200"/>
              <a:t>3000</a:t>
            </a:r>
            <a:r>
              <a:rPr lang="zh-CN" altLang="en-US" sz="1200"/>
              <a:t>，各</a:t>
            </a:r>
            <a:r>
              <a:rPr lang="zh-CN" altLang="zh-CN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产品的</a:t>
            </a:r>
            <a:r>
              <a:rPr lang="zh-CN" altLang="en-US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单位可变成本与生产量的关系如下表所示：</a:t>
            </a:r>
            <a:endPara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endPara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endPara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endPara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endPara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endPara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endPara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r>
              <a:rPr lang="en-US" altLang="zh-CN" sz="1200"/>
              <a:t>1</a:t>
            </a:r>
            <a:r>
              <a:rPr lang="zh-CN" altLang="en-US" sz="1200"/>
              <a:t>、计算生产两种产品各自的单位可变成本和总成本。</a:t>
            </a:r>
          </a:p>
          <a:p>
            <a:r>
              <a:rPr lang="en-US" altLang="zh-CN" sz="1200"/>
              <a:t>2</a:t>
            </a:r>
            <a:r>
              <a:rPr lang="zh-CN" altLang="en-US" sz="1200"/>
              <a:t>、作出成产量为</a:t>
            </a:r>
            <a:r>
              <a:rPr lang="en-US" altLang="zh-CN" sz="1200"/>
              <a:t>0</a:t>
            </a:r>
            <a:r>
              <a:rPr lang="zh-CN" altLang="en-US" sz="1200"/>
              <a:t>到</a:t>
            </a:r>
            <a:r>
              <a:rPr lang="en-US" altLang="zh-CN" sz="1200"/>
              <a:t>5000</a:t>
            </a:r>
            <a:r>
              <a:rPr lang="zh-CN" altLang="en-US" sz="1200"/>
              <a:t>变化的总成本模拟运算表。</a:t>
            </a:r>
            <a:endParaRPr lang="en-US" altLang="zh-CN" sz="1200"/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zh-CN" sz="1200">
                <a:solidFill>
                  <a:schemeClr val="dk1"/>
                </a:solidFill>
                <a:latin typeface="+mn-lt"/>
                <a:ea typeface="+mn-ea"/>
                <a:cs typeface="+mn-cs"/>
              </a:rPr>
              <a:t>3</a:t>
            </a:r>
            <a:r>
              <a:rPr lang="zh-CN" altLang="zh-CN" sz="1200">
                <a:solidFill>
                  <a:schemeClr val="dk1"/>
                </a:solidFill>
                <a:latin typeface="+mn-lt"/>
                <a:ea typeface="+mn-ea"/>
                <a:cs typeface="+mn-cs"/>
              </a:rPr>
              <a:t>、</a:t>
            </a:r>
            <a:r>
              <a:rPr lang="zh-CN" altLang="en-US" sz="1200">
                <a:solidFill>
                  <a:schemeClr val="dk1"/>
                </a:solidFill>
                <a:latin typeface="+mn-lt"/>
                <a:ea typeface="+mn-ea"/>
                <a:cs typeface="+mn-cs"/>
              </a:rPr>
              <a:t>在成产量旁边</a:t>
            </a:r>
            <a:r>
              <a:rPr lang="zh-CN" altLang="zh-CN" sz="1200">
                <a:solidFill>
                  <a:schemeClr val="dk1"/>
                </a:solidFill>
                <a:latin typeface="+mn-lt"/>
                <a:ea typeface="+mn-ea"/>
                <a:cs typeface="+mn-cs"/>
              </a:rPr>
              <a:t>作</a:t>
            </a:r>
            <a:r>
              <a:rPr lang="zh-CN" altLang="en-US" sz="1200">
                <a:solidFill>
                  <a:schemeClr val="dk1"/>
                </a:solidFill>
                <a:latin typeface="+mn-lt"/>
                <a:ea typeface="+mn-ea"/>
                <a:cs typeface="+mn-cs"/>
              </a:rPr>
              <a:t>一个生产量的可调控件，可调控件的调节范围为</a:t>
            </a:r>
            <a:r>
              <a:rPr lang="en-US" altLang="zh-CN" sz="1200">
                <a:solidFill>
                  <a:schemeClr val="dk1"/>
                </a:solidFill>
                <a:latin typeface="+mn-lt"/>
                <a:ea typeface="+mn-ea"/>
                <a:cs typeface="+mn-cs"/>
              </a:rPr>
              <a:t>0</a:t>
            </a:r>
            <a:r>
              <a:rPr lang="zh-CN" altLang="en-US" sz="1200">
                <a:solidFill>
                  <a:schemeClr val="dk1"/>
                </a:solidFill>
                <a:latin typeface="+mn-lt"/>
                <a:ea typeface="+mn-ea"/>
                <a:cs typeface="+mn-cs"/>
              </a:rPr>
              <a:t>到</a:t>
            </a:r>
            <a:r>
              <a:rPr lang="en-US" altLang="zh-CN" sz="1200">
                <a:solidFill>
                  <a:schemeClr val="dk1"/>
                </a:solidFill>
                <a:latin typeface="+mn-lt"/>
                <a:ea typeface="+mn-ea"/>
                <a:cs typeface="+mn-cs"/>
              </a:rPr>
              <a:t>5000</a:t>
            </a:r>
            <a:r>
              <a:rPr lang="zh-CN" altLang="en-US" sz="1200">
                <a:solidFill>
                  <a:schemeClr val="dk1"/>
                </a:solidFill>
                <a:latin typeface="+mn-lt"/>
                <a:ea typeface="+mn-ea"/>
                <a:cs typeface="+mn-cs"/>
              </a:rPr>
              <a:t>，步长为</a:t>
            </a:r>
            <a:r>
              <a:rPr lang="en-US" altLang="zh-CN" sz="1200">
                <a:solidFill>
                  <a:schemeClr val="dk1"/>
                </a:solidFill>
                <a:latin typeface="+mn-lt"/>
                <a:ea typeface="+mn-ea"/>
                <a:cs typeface="+mn-cs"/>
              </a:rPr>
              <a:t>100</a:t>
            </a:r>
            <a:r>
              <a:rPr lang="zh-CN" altLang="en-US" sz="1200">
                <a:solidFill>
                  <a:schemeClr val="dk1"/>
                </a:solidFill>
                <a:latin typeface="+mn-lt"/>
                <a:ea typeface="+mn-ea"/>
                <a:cs typeface="+mn-cs"/>
              </a:rPr>
              <a:t>，观察总成本随成产量的变化。</a:t>
            </a:r>
            <a:endParaRPr lang="en-US" altLang="zh-CN" sz="1200"/>
          </a:p>
          <a:p>
            <a:endParaRPr lang="en-US" altLang="zh-CN" sz="1200"/>
          </a:p>
          <a:p>
            <a:endParaRPr lang="en-US" altLang="zh-CN" sz="1200"/>
          </a:p>
          <a:p>
            <a:endParaRPr lang="en-US" altLang="zh-CN" sz="1200"/>
          </a:p>
          <a:p>
            <a:endParaRPr lang="en-US" altLang="zh-CN" sz="1200"/>
          </a:p>
          <a:p>
            <a:endParaRPr lang="en-US" altLang="zh-CN" sz="1200"/>
          </a:p>
          <a:p>
            <a:endParaRPr lang="en-US" altLang="zh-CN" sz="1200"/>
          </a:p>
          <a:p>
            <a:endParaRPr lang="en-US" altLang="zh-CN" sz="1200"/>
          </a:p>
          <a:p>
            <a:endParaRPr lang="en-US" altLang="zh-CN" sz="1200"/>
          </a:p>
          <a:p>
            <a:endParaRPr lang="en-US" altLang="zh-CN" sz="1200"/>
          </a:p>
          <a:p>
            <a:endParaRPr lang="en-US" altLang="zh-CN" sz="1200"/>
          </a:p>
          <a:p>
            <a:endParaRPr lang="en-US" altLang="zh-CN" sz="1200"/>
          </a:p>
          <a:p>
            <a:endParaRPr lang="en-US" altLang="zh-CN" sz="1200"/>
          </a:p>
          <a:p>
            <a:endParaRPr lang="en-US" altLang="zh-CN" sz="1200"/>
          </a:p>
          <a:p>
            <a:endParaRPr lang="en-US" altLang="zh-CN" sz="1200"/>
          </a:p>
          <a:p>
            <a:endParaRPr lang="en-US" altLang="zh-CN" sz="1200"/>
          </a:p>
          <a:p>
            <a:endParaRPr lang="en-US" altLang="zh-CN" sz="1200"/>
          </a:p>
          <a:p>
            <a:endParaRPr lang="zh-CN" altLang="en-US" sz="1200"/>
          </a:p>
          <a:p>
            <a:r>
              <a:rPr lang="en-US" altLang="zh-CN" sz="1200" baseline="0"/>
              <a:t>      </a:t>
            </a:r>
          </a:p>
          <a:p>
            <a:r>
              <a:rPr lang="en-US" altLang="zh-CN" sz="1200" baseline="0"/>
              <a:t>      </a:t>
            </a:r>
          </a:p>
          <a:p>
            <a:r>
              <a:rPr lang="en-US" altLang="zh-CN" sz="1200" baseline="0"/>
              <a:t> </a:t>
            </a:r>
            <a:endParaRPr lang="zh-CN" altLang="zh-CN" sz="1200">
              <a:effectLst/>
            </a:endParaRPr>
          </a:p>
        </xdr:txBody>
      </xdr:sp>
      <xdr:pic>
        <xdr:nvPicPr>
          <xdr:cNvPr id="7" name="图片 6"/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423038" y="1822450"/>
            <a:ext cx="2870175" cy="9342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1</xdr:row>
          <xdr:rowOff>0</xdr:rowOff>
        </xdr:from>
        <xdr:to>
          <xdr:col>4</xdr:col>
          <xdr:colOff>209550</xdr:colOff>
          <xdr:row>2</xdr:row>
          <xdr:rowOff>9525</xdr:rowOff>
        </xdr:to>
        <xdr:sp macro="" textlink="">
          <xdr:nvSpPr>
            <xdr:cNvPr id="4097" name="Spinner 1" hidden="1">
              <a:extLst>
                <a:ext uri="{63B3BB69-23CF-44E3-9099-C40C66FF867C}">
                  <a14:compatExt spid="_x0000_s40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21</xdr:row>
      <xdr:rowOff>114300</xdr:rowOff>
    </xdr:from>
    <xdr:to>
      <xdr:col>4</xdr:col>
      <xdr:colOff>647700</xdr:colOff>
      <xdr:row>52</xdr:row>
      <xdr:rowOff>47626</xdr:rowOff>
    </xdr:to>
    <xdr:grpSp>
      <xdr:nvGrpSpPr>
        <xdr:cNvPr id="5" name="组合 4"/>
        <xdr:cNvGrpSpPr/>
      </xdr:nvGrpSpPr>
      <xdr:grpSpPr>
        <a:xfrm>
          <a:off x="85725" y="3724275"/>
          <a:ext cx="5581650" cy="5248276"/>
          <a:chOff x="14916150" y="219074"/>
          <a:chExt cx="5343525" cy="4963140"/>
        </a:xfrm>
      </xdr:grpSpPr>
      <xdr:sp macro="" textlink="">
        <xdr:nvSpPr>
          <xdr:cNvPr id="6" name="Text Box 10"/>
          <xdr:cNvSpPr txBox="1">
            <a:spLocks noChangeArrowheads="1"/>
          </xdr:cNvSpPr>
        </xdr:nvSpPr>
        <xdr:spPr bwMode="auto">
          <a:xfrm>
            <a:off x="14916150" y="219074"/>
            <a:ext cx="5343525" cy="4963140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zh-CN" altLang="en-US" sz="12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第</a:t>
            </a:r>
            <a:r>
              <a:rPr lang="en-US" altLang="zh-CN" sz="12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6</a:t>
            </a:r>
            <a:r>
              <a:rPr lang="zh-CN" altLang="en-US" sz="12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题（</a:t>
            </a:r>
            <a:r>
              <a:rPr lang="en-US" altLang="zh-CN" sz="12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15</a:t>
            </a:r>
            <a:r>
              <a:rPr lang="zh-CN" altLang="en-US" sz="12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分）</a:t>
            </a:r>
            <a:r>
              <a:rPr lang="zh-CN" altLang="en-US" sz="12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  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/>
                <a:ea typeface="+mn-ea"/>
              </a:rPr>
              <a:t>某工厂每年需要购买某种零件</a:t>
            </a:r>
            <a:r>
              <a:rPr lang="en-US" altLang="zh-CN" sz="12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7500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个，购买单价为</a:t>
            </a:r>
            <a:r>
              <a:rPr lang="en-US" altLang="zh-CN" sz="12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5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元</a:t>
            </a:r>
            <a:r>
              <a:rPr lang="en-US" altLang="zh-CN" sz="12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/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个，一个零件储存一年的储存成本为其采购单价的</a:t>
            </a:r>
            <a:r>
              <a:rPr lang="en-US" altLang="zh-CN" sz="12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90%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，该零件每次订货的订货费用为</a:t>
            </a:r>
            <a:r>
              <a:rPr lang="en-US" altLang="zh-CN" sz="12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30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元。供应商提供优惠条件为：若采购量达到</a:t>
            </a:r>
            <a:r>
              <a:rPr lang="en-US" altLang="zh-CN" sz="12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1800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个，可以享受</a:t>
            </a:r>
            <a:r>
              <a:rPr lang="en-US" altLang="zh-CN" sz="12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5%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的采购单价折扣优惠。</a:t>
            </a:r>
          </a:p>
          <a:p>
            <a:pPr algn="l" rtl="0">
              <a:defRPr sz="1000"/>
            </a:pPr>
            <a:r>
              <a:rPr lang="en-US" altLang="zh-CN" sz="12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1.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计算经济订货量和有采购折扣优惠两种情况下的全年总成本。</a:t>
            </a:r>
          </a:p>
          <a:p>
            <a:pPr algn="l" rtl="0">
              <a:defRPr sz="1000"/>
            </a:pPr>
            <a:r>
              <a:rPr lang="en-US" altLang="zh-CN" sz="12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2.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+mn-cs"/>
              </a:rPr>
              <a:t>画出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当订货量在</a:t>
            </a:r>
            <a:r>
              <a:rPr lang="en-US" altLang="zh-CN" sz="12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100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至</a:t>
            </a:r>
            <a:r>
              <a:rPr lang="en-US" altLang="zh-CN" sz="12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2200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范围发生变化，年需求量在</a:t>
            </a:r>
            <a:r>
              <a:rPr lang="en-US" altLang="zh-CN" sz="12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6000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/>
                <a:ea typeface="+mn-ea"/>
              </a:rPr>
              <a:t>至</a:t>
            </a:r>
            <a:r>
              <a:rPr lang="en-US" altLang="zh-CN" sz="1200" b="0" i="0" u="none" strike="noStrike" baseline="0">
                <a:solidFill>
                  <a:srgbClr val="000000"/>
                </a:solidFill>
                <a:latin typeface="宋体"/>
                <a:ea typeface="+mn-ea"/>
              </a:rPr>
              <a:t>8500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/>
                <a:ea typeface="+mn-ea"/>
              </a:rPr>
              <a:t>范围、步长为</a:t>
            </a:r>
            <a:r>
              <a:rPr lang="en-US" altLang="zh-CN" sz="1200" b="0" i="0" u="none" strike="noStrike" baseline="0">
                <a:solidFill>
                  <a:srgbClr val="000000"/>
                </a:solidFill>
                <a:latin typeface="宋体"/>
                <a:ea typeface="+mn-ea"/>
              </a:rPr>
              <a:t>500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/>
                <a:ea typeface="+mn-ea"/>
              </a:rPr>
              <a:t>发生变化时，全年总成本的图形。</a:t>
            </a:r>
          </a:p>
          <a:p>
            <a:pPr algn="l" rtl="0">
              <a:defRPr sz="1000"/>
            </a:pPr>
            <a:r>
              <a:rPr lang="en-US" altLang="zh-CN" sz="12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3.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在图中添加经过全年总成本最低点的水平线。</a:t>
            </a:r>
          </a:p>
          <a:p>
            <a:pPr algn="l" rtl="0">
              <a:defRPr sz="1000"/>
            </a:pPr>
            <a:r>
              <a:rPr lang="en-US" altLang="zh-CN" sz="12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4.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/>
                <a:ea typeface="+mn-ea"/>
              </a:rPr>
              <a:t>在图中添加可以对采购阈限值进行调节的数字调节钮，调节范围为</a:t>
            </a:r>
            <a:r>
              <a:rPr lang="en-US" altLang="zh-CN" sz="12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1200-1800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，步长为</a:t>
            </a:r>
            <a:r>
              <a:rPr lang="en-US" altLang="zh-CN" sz="12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100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。</a:t>
            </a:r>
          </a:p>
          <a:p>
            <a:pPr algn="l" rtl="0">
              <a:defRPr sz="1000"/>
            </a:pPr>
            <a:r>
              <a:rPr lang="en-US" altLang="zh-CN" sz="12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5.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/>
                <a:ea typeface="+mn-ea"/>
              </a:rPr>
              <a:t>在图中添加对年需求量进行调节的数字调节钮，调节范围为</a:t>
            </a:r>
            <a:r>
              <a:rPr lang="en-US" altLang="zh-CN" sz="1200" b="0" i="0" u="none" strike="noStrike" baseline="0">
                <a:solidFill>
                  <a:srgbClr val="000000"/>
                </a:solidFill>
                <a:latin typeface="宋体"/>
                <a:ea typeface="+mn-ea"/>
              </a:rPr>
              <a:t>6000-8500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/>
                <a:ea typeface="+mn-ea"/>
              </a:rPr>
              <a:t>，步长为</a:t>
            </a:r>
            <a:r>
              <a:rPr lang="en-US" altLang="zh-CN" sz="1200" b="0" i="0" u="none" strike="noStrike" baseline="0">
                <a:solidFill>
                  <a:srgbClr val="000000"/>
                </a:solidFill>
                <a:latin typeface="宋体"/>
                <a:ea typeface="+mn-ea"/>
              </a:rPr>
              <a:t>100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/>
                <a:ea typeface="+mn-ea"/>
              </a:rPr>
              <a:t>。</a:t>
            </a:r>
          </a:p>
          <a:p>
            <a:pPr algn="l" rtl="0"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endParaRPr>
          </a:p>
        </xdr:txBody>
      </xdr:sp>
      <xdr:pic>
        <xdr:nvPicPr>
          <xdr:cNvPr id="7" name="图片 6"/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022145" y="2317401"/>
            <a:ext cx="5147649" cy="279223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340994</xdr:colOff>
      <xdr:row>0</xdr:row>
      <xdr:rowOff>129540</xdr:rowOff>
    </xdr:from>
    <xdr:to>
      <xdr:col>8</xdr:col>
      <xdr:colOff>167640</xdr:colOff>
      <xdr:row>15</xdr:row>
      <xdr:rowOff>129540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3789044" y="129540"/>
          <a:ext cx="3712846" cy="27813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endParaRPr lang="en-US" altLang="zh-CN" sz="1200" b="1" i="0" u="none" strike="noStrike" baseline="0">
            <a:solidFill>
              <a:srgbClr val="000000"/>
            </a:solidFill>
            <a:latin typeface="+mn-ea"/>
            <a:ea typeface="+mn-ea"/>
          </a:endParaRPr>
        </a:p>
        <a:p>
          <a:pPr algn="l" rtl="0">
            <a:lnSpc>
              <a:spcPts val="1200"/>
            </a:lnSpc>
            <a:defRPr sz="1000"/>
          </a:pPr>
          <a:r>
            <a:rPr lang="zh-CN" altLang="en-US" sz="1200" b="1" i="0" u="none" strike="noStrike" baseline="0">
              <a:solidFill>
                <a:srgbClr val="000000"/>
              </a:solidFill>
              <a:latin typeface="+mn-ea"/>
              <a:ea typeface="+mn-ea"/>
            </a:rPr>
            <a:t>第</a:t>
          </a:r>
          <a:r>
            <a:rPr lang="en-US" altLang="zh-CN" sz="1200" b="1" i="0" u="none" strike="noStrike" baseline="0">
              <a:solidFill>
                <a:srgbClr val="000000"/>
              </a:solidFill>
              <a:latin typeface="+mn-ea"/>
              <a:ea typeface="+mn-ea"/>
            </a:rPr>
            <a:t>6</a:t>
          </a:r>
          <a:r>
            <a:rPr lang="zh-CN" altLang="en-US" sz="1200" b="1" i="0" u="none" strike="noStrike" baseline="0">
              <a:solidFill>
                <a:srgbClr val="000000"/>
              </a:solidFill>
              <a:latin typeface="+mn-ea"/>
              <a:ea typeface="+mn-ea"/>
            </a:rPr>
            <a:t>题（</a:t>
          </a:r>
          <a:r>
            <a:rPr lang="en-US" altLang="zh-CN" sz="1200" b="1" i="0" u="none" strike="noStrike" baseline="0">
              <a:solidFill>
                <a:srgbClr val="000000"/>
              </a:solidFill>
              <a:latin typeface="+mn-ea"/>
              <a:ea typeface="+mn-ea"/>
            </a:rPr>
            <a:t>12</a:t>
          </a:r>
          <a:r>
            <a:rPr lang="zh-CN" altLang="en-US" sz="1200" b="1" i="0" u="none" strike="noStrike" baseline="0">
              <a:solidFill>
                <a:srgbClr val="000000"/>
              </a:solidFill>
              <a:latin typeface="+mn-ea"/>
              <a:ea typeface="+mn-ea"/>
            </a:rPr>
            <a:t>分）</a:t>
          </a:r>
          <a:endParaRPr lang="zh-CN" altLang="en-US" sz="1200" b="0" i="0" u="none" strike="noStrike" baseline="0">
            <a:solidFill>
              <a:srgbClr val="000000"/>
            </a:solidFill>
            <a:latin typeface="+mn-ea"/>
            <a:ea typeface="+mn-ea"/>
          </a:endParaRPr>
        </a:p>
        <a:p>
          <a:pPr algn="l" rtl="0">
            <a:lnSpc>
              <a:spcPts val="1200"/>
            </a:lnSpc>
            <a:defRPr sz="1000"/>
          </a:pPr>
          <a:r>
            <a:rPr lang="en-US" altLang="zh-CN" sz="1200" b="0" i="0" u="none" strike="noStrike" baseline="0">
              <a:solidFill>
                <a:srgbClr val="000000"/>
              </a:solidFill>
              <a:latin typeface="+mn-ea"/>
              <a:ea typeface="+mn-ea"/>
            </a:rPr>
            <a:t>1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+mn-ea"/>
              <a:ea typeface="+mn-ea"/>
            </a:rPr>
            <a:t>、某客户从银行得到发给二年期贷款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+mn-ea"/>
              <a:ea typeface="+mn-ea"/>
            </a:rPr>
            <a:t>10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+mn-ea"/>
              <a:ea typeface="+mn-ea"/>
            </a:rPr>
            <a:t>万元，第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+mn-ea"/>
              <a:ea typeface="+mn-ea"/>
            </a:rPr>
            <a:t>1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+mn-ea"/>
              <a:ea typeface="+mn-ea"/>
            </a:rPr>
            <a:t>个月归还利息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+mn-ea"/>
              <a:ea typeface="+mn-ea"/>
            </a:rPr>
            <a:t>9000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+mn-ea"/>
              <a:ea typeface="+mn-ea"/>
            </a:rPr>
            <a:t>元和本金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+mn-ea"/>
              <a:ea typeface="+mn-ea"/>
            </a:rPr>
            <a:t>1000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+mn-ea"/>
              <a:ea typeface="+mn-ea"/>
            </a:rPr>
            <a:t>元，以后每月归还本金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+mn-ea"/>
              <a:ea typeface="+mn-ea"/>
            </a:rPr>
            <a:t>1000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+mn-ea"/>
              <a:ea typeface="+mn-ea"/>
            </a:rPr>
            <a:t>元，最后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+mn-ea"/>
              <a:ea typeface="+mn-ea"/>
            </a:rPr>
            <a:t>1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+mn-ea"/>
              <a:ea typeface="+mn-ea"/>
            </a:rPr>
            <a:t>个月归还剩余本金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+mn-ea"/>
              <a:ea typeface="+mn-ea"/>
            </a:rPr>
            <a:t>77000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+mn-ea"/>
              <a:ea typeface="+mn-ea"/>
            </a:rPr>
            <a:t>元， 计算该贷款的年化利率。</a:t>
          </a:r>
          <a:endParaRPr lang="en-US" altLang="zh-CN" sz="1200" b="0" i="0" u="none" strike="noStrike" baseline="0">
            <a:solidFill>
              <a:srgbClr val="000000"/>
            </a:solidFill>
            <a:latin typeface="+mn-ea"/>
            <a:ea typeface="+mn-ea"/>
          </a:endParaRPr>
        </a:p>
        <a:p>
          <a:pPr algn="l" rtl="0">
            <a:lnSpc>
              <a:spcPts val="1200"/>
            </a:lnSpc>
            <a:defRPr sz="1000"/>
          </a:pPr>
          <a:endParaRPr lang="zh-CN" altLang="en-US" sz="1200" b="0" i="0" u="none" strike="noStrike" baseline="0">
            <a:solidFill>
              <a:srgbClr val="000000"/>
            </a:solidFill>
            <a:latin typeface="+mn-ea"/>
            <a:ea typeface="+mn-ea"/>
          </a:endParaRPr>
        </a:p>
        <a:p>
          <a:pPr algn="l" rtl="0">
            <a:lnSpc>
              <a:spcPts val="1200"/>
            </a:lnSpc>
            <a:defRPr sz="1000"/>
          </a:pPr>
          <a:r>
            <a:rPr lang="en-US" altLang="zh-CN" sz="1200" b="0" i="0" u="none" strike="noStrike" baseline="0">
              <a:solidFill>
                <a:srgbClr val="000000"/>
              </a:solidFill>
              <a:latin typeface="+mn-ea"/>
              <a:ea typeface="+mn-ea"/>
            </a:rPr>
            <a:t>2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+mn-ea"/>
              <a:ea typeface="+mn-ea"/>
            </a:rPr>
            <a:t>、</a:t>
          </a:r>
          <a:r>
            <a:rPr lang="zh-CN" altLang="zh-CN" sz="1200" b="0" i="0" baseline="0">
              <a:effectLst/>
              <a:latin typeface="+mn-lt"/>
              <a:ea typeface="+mn-ea"/>
              <a:cs typeface="+mn-cs"/>
            </a:rPr>
            <a:t>某客户</a:t>
          </a:r>
          <a:r>
            <a:rPr lang="zh-CN" altLang="en-US" sz="1200" b="0" i="0" baseline="0">
              <a:effectLst/>
              <a:latin typeface="+mn-lt"/>
              <a:ea typeface="+mn-ea"/>
              <a:cs typeface="+mn-cs"/>
            </a:rPr>
            <a:t>初始存入</a:t>
          </a:r>
          <a:r>
            <a:rPr lang="en-US" altLang="zh-CN" sz="1200" b="0" i="0" baseline="0">
              <a:effectLst/>
              <a:latin typeface="+mn-lt"/>
              <a:ea typeface="+mn-ea"/>
              <a:cs typeface="+mn-cs"/>
            </a:rPr>
            <a:t>20</a:t>
          </a:r>
          <a:r>
            <a:rPr lang="zh-CN" altLang="en-US" sz="1200" b="0" i="0" baseline="0">
              <a:effectLst/>
              <a:latin typeface="+mn-lt"/>
              <a:ea typeface="+mn-ea"/>
              <a:cs typeface="+mn-cs"/>
            </a:rPr>
            <a:t>万元，以后每月存入</a:t>
          </a:r>
          <a:r>
            <a:rPr lang="en-US" altLang="zh-CN" sz="1200" b="0" i="0" baseline="0">
              <a:effectLst/>
              <a:latin typeface="+mn-lt"/>
              <a:ea typeface="+mn-ea"/>
              <a:cs typeface="+mn-cs"/>
            </a:rPr>
            <a:t>5000</a:t>
          </a:r>
          <a:r>
            <a:rPr lang="zh-CN" altLang="en-US" sz="1200" b="0" i="0" baseline="0">
              <a:effectLst/>
              <a:latin typeface="+mn-lt"/>
              <a:ea typeface="+mn-ea"/>
              <a:cs typeface="+mn-cs"/>
            </a:rPr>
            <a:t>元，期限 </a:t>
          </a:r>
          <a:r>
            <a:rPr lang="en-US" altLang="zh-CN" sz="1200" b="0" i="0" baseline="0">
              <a:effectLst/>
              <a:latin typeface="+mn-lt"/>
              <a:ea typeface="+mn-ea"/>
              <a:cs typeface="+mn-cs"/>
            </a:rPr>
            <a:t>10</a:t>
          </a:r>
          <a:r>
            <a:rPr lang="zh-CN" altLang="en-US" sz="1200" b="0" i="0" baseline="0">
              <a:effectLst/>
              <a:latin typeface="+mn-lt"/>
              <a:ea typeface="+mn-ea"/>
              <a:cs typeface="+mn-cs"/>
            </a:rPr>
            <a:t>年，年利率</a:t>
          </a:r>
          <a:r>
            <a:rPr lang="en-US" altLang="zh-CN" sz="1200" b="0" i="0" baseline="0">
              <a:effectLst/>
              <a:latin typeface="+mn-lt"/>
              <a:ea typeface="+mn-ea"/>
              <a:cs typeface="+mn-cs"/>
            </a:rPr>
            <a:t>8%,</a:t>
          </a:r>
          <a:r>
            <a:rPr lang="zh-CN" altLang="en-US" sz="1200" b="0" i="0" baseline="0">
              <a:effectLst/>
              <a:latin typeface="+mn-lt"/>
              <a:ea typeface="+mn-ea"/>
              <a:cs typeface="+mn-cs"/>
            </a:rPr>
            <a:t>问</a:t>
          </a:r>
          <a:r>
            <a:rPr lang="en-US" altLang="zh-CN" sz="1200" b="0" i="0" baseline="0">
              <a:effectLst/>
              <a:latin typeface="+mn-lt"/>
              <a:ea typeface="+mn-ea"/>
              <a:cs typeface="+mn-cs"/>
            </a:rPr>
            <a:t>10</a:t>
          </a:r>
          <a:r>
            <a:rPr lang="zh-CN" altLang="en-US" sz="1200" b="0" i="0" baseline="0">
              <a:effectLst/>
              <a:latin typeface="+mn-lt"/>
              <a:ea typeface="+mn-ea"/>
              <a:cs typeface="+mn-cs"/>
            </a:rPr>
            <a:t>年后的存款额是多少？</a:t>
          </a:r>
          <a:endParaRPr lang="en-US" altLang="zh-CN" sz="1200" b="0" i="0" u="none" strike="noStrike" baseline="0">
            <a:solidFill>
              <a:srgbClr val="000000"/>
            </a:solidFill>
            <a:effectLst/>
            <a:latin typeface="+mn-ea"/>
            <a:ea typeface="+mn-ea"/>
            <a:cs typeface="+mn-cs"/>
          </a:endParaRPr>
        </a:p>
        <a:p>
          <a:pPr algn="l" rtl="0">
            <a:lnSpc>
              <a:spcPts val="1200"/>
            </a:lnSpc>
            <a:defRPr sz="1000"/>
          </a:pPr>
          <a:endParaRPr lang="zh-CN" altLang="en-US" sz="1200" b="0" i="0" u="none" strike="noStrike" baseline="0">
            <a:solidFill>
              <a:srgbClr val="000000"/>
            </a:solidFill>
            <a:latin typeface="+mn-ea"/>
            <a:ea typeface="+mn-ea"/>
          </a:endParaRPr>
        </a:p>
        <a:p>
          <a:pPr rtl="0"/>
          <a:r>
            <a:rPr lang="en-US" altLang="zh-CN" sz="1200" b="0" i="0" u="none" strike="noStrike" baseline="0">
              <a:solidFill>
                <a:srgbClr val="000000"/>
              </a:solidFill>
              <a:latin typeface="+mn-ea"/>
              <a:ea typeface="+mn-ea"/>
            </a:rPr>
            <a:t>3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+mn-ea"/>
              <a:ea typeface="+mn-ea"/>
            </a:rPr>
            <a:t>、</a:t>
          </a:r>
          <a:r>
            <a:rPr lang="zh-CN" altLang="zh-CN" sz="1200" b="0" i="0" baseline="0">
              <a:effectLst/>
              <a:latin typeface="+mn-lt"/>
              <a:ea typeface="+mn-ea"/>
              <a:cs typeface="+mn-cs"/>
            </a:rPr>
            <a:t>金额为10</a:t>
          </a:r>
          <a:r>
            <a:rPr lang="zh-CN" altLang="en-US" sz="1200" b="0" i="0" baseline="0">
              <a:effectLst/>
              <a:latin typeface="+mn-lt"/>
              <a:ea typeface="+mn-ea"/>
              <a:cs typeface="+mn-cs"/>
            </a:rPr>
            <a:t>万</a:t>
          </a:r>
          <a:r>
            <a:rPr lang="zh-CN" altLang="zh-CN" sz="1200" b="0" i="0" baseline="0">
              <a:effectLst/>
              <a:latin typeface="+mn-lt"/>
              <a:ea typeface="+mn-ea"/>
              <a:cs typeface="+mn-cs"/>
            </a:rPr>
            <a:t>元 的贷款，每月支付额为 2</a:t>
          </a:r>
          <a:r>
            <a:rPr lang="en-US" altLang="zh-CN" sz="1200" b="0" i="0" baseline="0">
              <a:effectLst/>
              <a:latin typeface="+mn-lt"/>
              <a:ea typeface="+mn-ea"/>
              <a:cs typeface="+mn-cs"/>
            </a:rPr>
            <a:t>5</a:t>
          </a:r>
          <a:r>
            <a:rPr lang="zh-CN" altLang="zh-CN" sz="1200" b="0" i="0" baseline="0">
              <a:effectLst/>
              <a:latin typeface="+mn-lt"/>
              <a:ea typeface="+mn-ea"/>
              <a:cs typeface="+mn-cs"/>
            </a:rPr>
            <a:t>00元，</a:t>
          </a:r>
          <a:r>
            <a:rPr lang="zh-CN" altLang="en-US" sz="1200" b="0" i="0" baseline="0">
              <a:effectLst/>
              <a:latin typeface="+mn-lt"/>
              <a:ea typeface="+mn-ea"/>
              <a:cs typeface="+mn-cs"/>
            </a:rPr>
            <a:t>年</a:t>
          </a:r>
          <a:r>
            <a:rPr lang="zh-CN" altLang="zh-CN" sz="1200" b="0" i="0" baseline="0">
              <a:effectLst/>
              <a:latin typeface="+mn-lt"/>
              <a:ea typeface="+mn-ea"/>
              <a:cs typeface="+mn-cs"/>
            </a:rPr>
            <a:t>利率为1</a:t>
          </a:r>
          <a:r>
            <a:rPr lang="en-US" altLang="zh-CN" sz="1200" b="0" i="0" baseline="0">
              <a:effectLst/>
              <a:latin typeface="+mn-lt"/>
              <a:ea typeface="+mn-ea"/>
              <a:cs typeface="+mn-cs"/>
            </a:rPr>
            <a:t>0</a:t>
          </a:r>
          <a:r>
            <a:rPr lang="zh-CN" altLang="zh-CN" sz="1200" b="0" i="0" baseline="0">
              <a:effectLst/>
              <a:latin typeface="+mn-lt"/>
              <a:ea typeface="+mn-ea"/>
              <a:cs typeface="+mn-cs"/>
            </a:rPr>
            <a:t>%，该笔贷款多少年还清?</a:t>
          </a:r>
          <a:endParaRPr lang="en-US" altLang="zh-CN" sz="1200" b="0" i="0" baseline="0">
            <a:effectLst/>
            <a:latin typeface="+mn-lt"/>
            <a:ea typeface="+mn-ea"/>
            <a:cs typeface="+mn-cs"/>
          </a:endParaRPr>
        </a:p>
        <a:p>
          <a:pPr rtl="0"/>
          <a:endParaRPr lang="en-US" altLang="zh-CN" sz="1200" b="0" i="0" baseline="0">
            <a:effectLst/>
            <a:latin typeface="+mn-lt"/>
            <a:ea typeface="+mn-ea"/>
            <a:cs typeface="+mn-cs"/>
          </a:endParaRPr>
        </a:p>
        <a:p>
          <a:pPr rtl="0"/>
          <a:r>
            <a:rPr lang="en-US" altLang="zh-CN" sz="1200" b="0" i="0" baseline="0">
              <a:effectLst/>
              <a:latin typeface="+mn-lt"/>
              <a:ea typeface="+mn-ea"/>
              <a:cs typeface="+mn-cs"/>
            </a:rPr>
            <a:t>4</a:t>
          </a:r>
          <a:r>
            <a:rPr lang="zh-CN" altLang="en-US" sz="1200" b="0" i="0" baseline="0">
              <a:effectLst/>
              <a:latin typeface="+mn-lt"/>
              <a:ea typeface="+mn-ea"/>
              <a:cs typeface="+mn-cs"/>
            </a:rPr>
            <a:t>、</a:t>
          </a:r>
          <a:r>
            <a:rPr lang="zh-CN" altLang="zh-CN" sz="1100" b="0" i="0" baseline="0">
              <a:effectLst/>
              <a:latin typeface="+mn-lt"/>
              <a:ea typeface="+mn-ea"/>
              <a:cs typeface="+mn-cs"/>
            </a:rPr>
            <a:t>某公司购买了一台新机器，价值为100000元，使用期限为</a:t>
          </a:r>
          <a:r>
            <a:rPr lang="en-US" altLang="zh-CN" sz="1100" b="0" i="0" baseline="0">
              <a:effectLst/>
              <a:latin typeface="+mn-lt"/>
              <a:ea typeface="+mn-ea"/>
              <a:cs typeface="+mn-cs"/>
            </a:rPr>
            <a:t>5</a:t>
          </a:r>
          <a:r>
            <a:rPr lang="zh-CN" altLang="zh-CN" sz="1100" b="0" i="0" baseline="0">
              <a:effectLst/>
              <a:latin typeface="+mn-lt"/>
              <a:ea typeface="+mn-ea"/>
              <a:cs typeface="+mn-cs"/>
            </a:rPr>
            <a:t>年，残值为10000元（计算结果保留两位小数）</a:t>
          </a:r>
          <a:r>
            <a:rPr lang="zh-CN" altLang="en-US" sz="1100" b="0" i="0" baseline="0">
              <a:effectLst/>
              <a:latin typeface="+mn-lt"/>
              <a:ea typeface="+mn-ea"/>
              <a:cs typeface="+mn-cs"/>
            </a:rPr>
            <a:t>按年计提折旧，</a:t>
          </a:r>
          <a:r>
            <a:rPr lang="zh-CN" altLang="zh-CN" sz="1100" b="0" i="0" baseline="0">
              <a:effectLst/>
              <a:latin typeface="+mn-lt"/>
              <a:ea typeface="+mn-ea"/>
              <a:cs typeface="+mn-cs"/>
            </a:rPr>
            <a:t>试用直线法计算每年的折旧额？</a:t>
          </a:r>
          <a:endParaRPr lang="zh-CN" altLang="zh-CN" sz="1200">
            <a:effectLst/>
          </a:endParaRPr>
        </a:p>
        <a:p>
          <a:pPr rtl="0"/>
          <a:endParaRPr lang="zh-CN" altLang="zh-CN" sz="1200">
            <a:effectLst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447675</xdr:colOff>
      <xdr:row>1</xdr:row>
      <xdr:rowOff>9526</xdr:rowOff>
    </xdr:from>
    <xdr:to>
      <xdr:col>15</xdr:col>
      <xdr:colOff>600075</xdr:colOff>
      <xdr:row>12</xdr:row>
      <xdr:rowOff>161925</xdr:rowOff>
    </xdr:to>
    <xdr:grpSp>
      <xdr:nvGrpSpPr>
        <xdr:cNvPr id="8" name="组合 7"/>
        <xdr:cNvGrpSpPr/>
      </xdr:nvGrpSpPr>
      <xdr:grpSpPr>
        <a:xfrm>
          <a:off x="6486525" y="180976"/>
          <a:ext cx="4267200" cy="2181224"/>
          <a:chOff x="7820025" y="4686301"/>
          <a:chExt cx="4267200" cy="2181224"/>
        </a:xfrm>
      </xdr:grpSpPr>
      <xdr:graphicFrame macro="">
        <xdr:nvGraphicFramePr>
          <xdr:cNvPr id="11" name="图表 10"/>
          <xdr:cNvGraphicFramePr/>
        </xdr:nvGraphicFramePr>
        <xdr:xfrm>
          <a:off x="7820025" y="4686301"/>
          <a:ext cx="4267200" cy="218122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6145" name="Scroll Bar 1" hidden="1">
                <a:extLst>
                  <a:ext uri="{63B3BB69-23CF-44E3-9099-C40C66FF867C}">
                    <a14:compatExt spid="_x0000_s6145"/>
                  </a:ext>
                </a:extLst>
              </xdr:cNvPr>
              <xdr:cNvSpPr/>
            </xdr:nvSpPr>
            <xdr:spPr bwMode="auto">
              <a:xfrm>
                <a:off x="8488385" y="4857751"/>
                <a:ext cx="665140" cy="171450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</xdr:spPr>
          </xdr:sp>
        </mc:Choice>
        <mc:Fallback/>
      </mc:AlternateContent>
    </xdr:grpSp>
    <xdr:clientData/>
  </xdr:twoCellAnchor>
  <xdr:twoCellAnchor>
    <xdr:from>
      <xdr:col>7</xdr:col>
      <xdr:colOff>619125</xdr:colOff>
      <xdr:row>18</xdr:row>
      <xdr:rowOff>85725</xdr:rowOff>
    </xdr:from>
    <xdr:to>
      <xdr:col>17</xdr:col>
      <xdr:colOff>247651</xdr:colOff>
      <xdr:row>44</xdr:row>
      <xdr:rowOff>19050</xdr:rowOff>
    </xdr:to>
    <xdr:grpSp>
      <xdr:nvGrpSpPr>
        <xdr:cNvPr id="12" name="组合 11"/>
        <xdr:cNvGrpSpPr/>
      </xdr:nvGrpSpPr>
      <xdr:grpSpPr>
        <a:xfrm>
          <a:off x="5086350" y="3324225"/>
          <a:ext cx="6686551" cy="4391025"/>
          <a:chOff x="5534025" y="2486025"/>
          <a:chExt cx="6686551" cy="4391025"/>
        </a:xfrm>
      </xdr:grpSpPr>
      <xdr:sp macro="" textlink="">
        <xdr:nvSpPr>
          <xdr:cNvPr id="13" name="文本框 12"/>
          <xdr:cNvSpPr txBox="1"/>
        </xdr:nvSpPr>
        <xdr:spPr>
          <a:xfrm>
            <a:off x="5534025" y="2486025"/>
            <a:ext cx="6686551" cy="43910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zh-CN" altLang="en-US" sz="1100"/>
              <a:t>第</a:t>
            </a:r>
            <a:r>
              <a:rPr lang="en-US" altLang="zh-CN" sz="1100"/>
              <a:t>7</a:t>
            </a:r>
            <a:r>
              <a:rPr lang="zh-CN" altLang="en-US" sz="1100"/>
              <a:t>题    </a:t>
            </a:r>
            <a:r>
              <a:rPr lang="en-US" altLang="zh-CN" sz="1100"/>
              <a:t>12</a:t>
            </a:r>
            <a:r>
              <a:rPr lang="zh-CN" altLang="en-US" sz="1100"/>
              <a:t>分</a:t>
            </a:r>
            <a:endParaRPr lang="en-US" altLang="zh-CN" sz="1100"/>
          </a:p>
          <a:p>
            <a:r>
              <a:rPr lang="zh-CN" altLang="en-US" sz="1100"/>
              <a:t>已知某生产奢侈品企业的固定成本为</a:t>
            </a:r>
            <a:r>
              <a:rPr lang="en-US" altLang="zh-CN" sz="1100"/>
              <a:t>40000</a:t>
            </a:r>
            <a:r>
              <a:rPr lang="zh-CN" altLang="en-US" sz="1100"/>
              <a:t>元，单位可变成本为</a:t>
            </a:r>
            <a:r>
              <a:rPr lang="en-US" altLang="zh-CN" sz="1100"/>
              <a:t>120</a:t>
            </a:r>
            <a:r>
              <a:rPr lang="zh-CN" altLang="en-US" sz="1100"/>
              <a:t>元，企业生产能力最大为</a:t>
            </a:r>
            <a:r>
              <a:rPr lang="en-US" altLang="zh-CN" sz="1100"/>
              <a:t>200-1400</a:t>
            </a:r>
            <a:r>
              <a:rPr lang="zh-CN" altLang="en-US" sz="1100"/>
              <a:t>个，如果生产的产量能够完全实现销售，试为企业制定其产量为多少时，可以获得最大的利润：（所有的单价与利润精确到</a:t>
            </a:r>
            <a:r>
              <a:rPr lang="en-US" altLang="zh-CN" sz="1100"/>
              <a:t>0.01</a:t>
            </a:r>
            <a:r>
              <a:rPr lang="zh-CN" altLang="en-US" sz="1100"/>
              <a:t>）</a:t>
            </a:r>
            <a:endParaRPr lang="en-US" altLang="zh-CN" sz="1100"/>
          </a:p>
          <a:p>
            <a:r>
              <a:rPr lang="en-US" altLang="zh-CN" sz="1100"/>
              <a:t>1</a:t>
            </a:r>
            <a:r>
              <a:rPr lang="zh-CN" altLang="en-US" sz="1100"/>
              <a:t>、从硬盘上读入“产品销售数据</a:t>
            </a:r>
            <a:r>
              <a:rPr lang="en-US" altLang="zh-CN" sz="1100"/>
              <a:t>.txt</a:t>
            </a:r>
            <a:r>
              <a:rPr lang="zh-CN" altLang="en-US" sz="1100"/>
              <a:t>”至</a:t>
            </a:r>
            <a:r>
              <a:rPr lang="en-US" altLang="zh-CN" sz="1100"/>
              <a:t>A2</a:t>
            </a:r>
            <a:r>
              <a:rPr lang="zh-CN" altLang="en-US" sz="1100"/>
              <a:t>单元格开始的位置，并利用</a:t>
            </a:r>
            <a:r>
              <a:rPr lang="en-US" altLang="zh-CN" sz="1100"/>
              <a:t>Linest</a:t>
            </a:r>
            <a:r>
              <a:rPr lang="zh-CN" altLang="en-US" sz="1100"/>
              <a:t>函数求出其产量的斜率和截距；</a:t>
            </a:r>
            <a:endParaRPr lang="en-US" altLang="zh-CN" sz="1100"/>
          </a:p>
          <a:p>
            <a:r>
              <a:rPr lang="en-US" altLang="zh-CN" sz="1100"/>
              <a:t>2</a:t>
            </a:r>
            <a:r>
              <a:rPr lang="zh-CN" altLang="en-US" sz="1100"/>
              <a:t>、若生产量为</a:t>
            </a:r>
            <a:r>
              <a:rPr lang="en-US" altLang="zh-CN" sz="1100"/>
              <a:t>600</a:t>
            </a:r>
            <a:r>
              <a:rPr lang="zh-CN" altLang="en-US" sz="1100"/>
              <a:t>个，建立模型求所得的利润；</a:t>
            </a:r>
            <a:endParaRPr lang="en-US" altLang="zh-CN" sz="1100"/>
          </a:p>
          <a:p>
            <a:r>
              <a:rPr lang="en-US" altLang="zh-CN" sz="1100"/>
              <a:t>3</a:t>
            </a:r>
            <a:r>
              <a:rPr lang="zh-CN" altLang="en-US" sz="1100"/>
              <a:t>、用规划求解工具求最优产量及对应的利润极值，并将处理的结果保存在</a:t>
            </a:r>
            <a:r>
              <a:rPr lang="en-US" altLang="zh-CN" sz="1100"/>
              <a:t>B20</a:t>
            </a:r>
            <a:r>
              <a:rPr lang="zh-CN" altLang="en-US" sz="1100"/>
              <a:t>开始的单元格处；</a:t>
            </a:r>
            <a:endParaRPr lang="en-US" altLang="zh-CN" sz="1100"/>
          </a:p>
          <a:p>
            <a:r>
              <a:rPr lang="en-US" altLang="zh-CN" sz="1100"/>
              <a:t>4</a:t>
            </a:r>
            <a:r>
              <a:rPr lang="zh-CN" altLang="en-US" sz="1100"/>
              <a:t>、用公式计算最优产量及对应的利润极值进行验证；</a:t>
            </a:r>
            <a:endParaRPr lang="en-US" altLang="zh-CN" sz="1100"/>
          </a:p>
          <a:p>
            <a:r>
              <a:rPr lang="en-US" altLang="zh-CN" sz="1100"/>
              <a:t>5</a:t>
            </a:r>
            <a:r>
              <a:rPr lang="zh-CN" altLang="en-US" sz="1100"/>
              <a:t>、制作产量与利润的曲线图表，并格式化后标注最优产量及利润的垂直参考线；</a:t>
            </a:r>
            <a:endParaRPr lang="en-US" altLang="zh-CN" sz="1100"/>
          </a:p>
          <a:p>
            <a:r>
              <a:rPr lang="en-US" altLang="zh-CN" sz="1100"/>
              <a:t>6</a:t>
            </a:r>
            <a:r>
              <a:rPr lang="zh-CN" altLang="en-US" sz="1100"/>
              <a:t>、制作当前生产量从</a:t>
            </a:r>
            <a:r>
              <a:rPr lang="en-US" altLang="zh-CN" sz="1100"/>
              <a:t>200</a:t>
            </a:r>
            <a:r>
              <a:rPr lang="zh-CN" altLang="en-US" sz="1100"/>
              <a:t>增值</a:t>
            </a:r>
            <a:r>
              <a:rPr lang="en-US" altLang="zh-CN" sz="1100"/>
              <a:t>25</a:t>
            </a:r>
            <a:r>
              <a:rPr lang="zh-CN" altLang="en-US" sz="1100"/>
              <a:t>到</a:t>
            </a:r>
            <a:r>
              <a:rPr lang="en-US" altLang="zh-CN" sz="1100"/>
              <a:t>1200</a:t>
            </a:r>
            <a:r>
              <a:rPr lang="zh-CN" altLang="en-US" sz="1100"/>
              <a:t>的参考点，并标注出产量及对应的利润值，如下图所示。</a:t>
            </a:r>
            <a:endParaRPr lang="en-US" altLang="zh-CN" sz="1100"/>
          </a:p>
          <a:p>
            <a:endParaRPr lang="en-US" altLang="zh-CN" sz="1100"/>
          </a:p>
          <a:p>
            <a:r>
              <a:rPr lang="zh-CN" altLang="en-US" sz="1100"/>
              <a:t>提示：可能会用的计算公式为：</a:t>
            </a:r>
            <a:endParaRPr lang="en-US" altLang="zh-CN" sz="1100"/>
          </a:p>
          <a:p>
            <a:endParaRPr lang="zh-CN" altLang="en-US" sz="1100"/>
          </a:p>
        </xdr:txBody>
      </xdr:sp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14" name="文本框 13"/>
              <xdr:cNvSpPr txBox="1"/>
            </xdr:nvSpPr>
            <xdr:spPr>
              <a:xfrm>
                <a:off x="5669846" y="4895851"/>
                <a:ext cx="1713429" cy="809624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lIns="0" tIns="0" rIns="0" bIns="0" rtlCol="0" anchor="t"/>
              <a:lstStyle/>
              <a:p>
                <a14:m>
                  <m:oMath xmlns:m="http://schemas.openxmlformats.org/officeDocument/2006/math">
                    <m:sSub>
                      <m:sSubPr>
                        <m:ctrlPr>
                          <a:rPr lang="en-US" altLang="zh-CN" sz="12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n-US" altLang="zh-CN" sz="1200" b="0" i="1">
                            <a:latin typeface="Cambria Math" panose="02040503050406030204" pitchFamily="18" charset="0"/>
                          </a:rPr>
                          <m:t>Q</m:t>
                        </m:r>
                      </m:e>
                      <m:sub>
                        <m:r>
                          <a:rPr lang="en-US" altLang="zh-CN" sz="1200" b="0" i="1">
                            <a:latin typeface="Cambria Math" panose="02040503050406030204" pitchFamily="18" charset="0"/>
                          </a:rPr>
                          <m:t>𝑜𝑝𝑡</m:t>
                        </m:r>
                      </m:sub>
                    </m:sSub>
                  </m:oMath>
                </a14:m>
                <a:r>
                  <a:rPr lang="en-US" altLang="zh-CN" sz="1400"/>
                  <a:t>=</a:t>
                </a:r>
                <a14:m>
                  <m:oMath xmlns:m="http://schemas.openxmlformats.org/officeDocument/2006/math">
                    <m:f>
                      <m:fPr>
                        <m:ctrlPr>
                          <a:rPr lang="en-US" altLang="zh-CN" sz="14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altLang="zh-CN" sz="1400" b="0" i="1">
                            <a:latin typeface="Cambria Math" panose="02040503050406030204" pitchFamily="18" charset="0"/>
                          </a:rPr>
                          <m:t>𝑣</m:t>
                        </m:r>
                        <m:r>
                          <a:rPr lang="en-US" altLang="zh-CN" sz="14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altLang="zh-CN" sz="1400" b="0" i="1">
                            <a:latin typeface="Cambria Math" panose="02040503050406030204" pitchFamily="18" charset="0"/>
                          </a:rPr>
                          <m:t>𝑎</m:t>
                        </m:r>
                      </m:num>
                      <m:den>
                        <m:r>
                          <a:rPr lang="en-US" altLang="zh-CN" sz="1400" b="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US" altLang="zh-CN" sz="1400" b="0" i="1">
                            <a:latin typeface="Cambria Math" panose="02040503050406030204" pitchFamily="18" charset="0"/>
                          </a:rPr>
                          <m:t>𝑏</m:t>
                        </m:r>
                      </m:den>
                    </m:f>
                  </m:oMath>
                </a14:m>
                <a:endParaRPr lang="en-US" altLang="zh-CN" sz="1400"/>
              </a:p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sSub>
                        <m:sSubPr>
                          <m:ctrlPr>
                            <a:rPr lang="el-GR" altLang="zh-CN" sz="120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l-GR" altLang="zh-CN" sz="120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𝜋</m:t>
                          </m:r>
                        </m:e>
                        <m:sub>
                          <m:r>
                            <a:rPr lang="en-US" altLang="zh-CN" sz="1200" b="0" i="1">
                              <a:latin typeface="Cambria Math" panose="02040503050406030204" pitchFamily="18" charset="0"/>
                            </a:rPr>
                            <m:t>𝑚𝑎𝑥</m:t>
                          </m:r>
                        </m:sub>
                      </m:sSub>
                      <m:r>
                        <a:rPr lang="en-US" altLang="zh-CN" sz="1200" b="0" i="1">
                          <a:latin typeface="Cambria Math" panose="02040503050406030204" pitchFamily="18" charset="0"/>
                        </a:rPr>
                        <m:t>=−</m:t>
                      </m:r>
                      <m:f>
                        <m:fPr>
                          <m:ctrlPr>
                            <a:rPr lang="en-US" altLang="zh-CN" sz="1200" b="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sSup>
                            <m:sSupPr>
                              <m:ctrlPr>
                                <a:rPr lang="en-US" altLang="zh-CN" sz="1200" b="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d>
                                <m:dPr>
                                  <m:ctrlPr>
                                    <a:rPr lang="en-US" altLang="zh-CN" sz="1200" b="0" i="1">
                                      <a:latin typeface="Cambria Math" panose="02040503050406030204" pitchFamily="18" charset="0"/>
                                    </a:rPr>
                                  </m:ctrlPr>
                                </m:dPr>
                                <m:e>
                                  <m:r>
                                    <a:rPr lang="en-US" altLang="zh-CN" sz="1200" b="0" i="1">
                                      <a:latin typeface="Cambria Math" panose="02040503050406030204" pitchFamily="18" charset="0"/>
                                    </a:rPr>
                                    <m:t>𝑣</m:t>
                                  </m:r>
                                  <m:r>
                                    <a:rPr lang="en-US" altLang="zh-CN" sz="1200" b="0" i="1">
                                      <a:latin typeface="Cambria Math" panose="02040503050406030204" pitchFamily="18" charset="0"/>
                                    </a:rPr>
                                    <m:t>−</m:t>
                                  </m:r>
                                  <m:r>
                                    <a:rPr lang="en-US" altLang="zh-CN" sz="1200" b="0" i="1">
                                      <a:latin typeface="Cambria Math" panose="02040503050406030204" pitchFamily="18" charset="0"/>
                                    </a:rPr>
                                    <m:t>𝑎</m:t>
                                  </m:r>
                                </m:e>
                              </m:d>
                            </m:e>
                            <m:sup>
                              <m:r>
                                <a:rPr lang="en-US" altLang="zh-CN" sz="12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sup>
                          </m:sSup>
                        </m:num>
                        <m:den>
                          <m:r>
                            <a:rPr lang="en-US" altLang="zh-CN" sz="1200" b="0" i="1">
                              <a:latin typeface="Cambria Math" panose="02040503050406030204" pitchFamily="18" charset="0"/>
                            </a:rPr>
                            <m:t>4</m:t>
                          </m:r>
                          <m:r>
                            <a:rPr lang="en-US" altLang="zh-CN" sz="1200" b="0" i="1">
                              <a:latin typeface="Cambria Math" panose="02040503050406030204" pitchFamily="18" charset="0"/>
                            </a:rPr>
                            <m:t>𝑏</m:t>
                          </m:r>
                        </m:den>
                      </m:f>
                      <m:r>
                        <a:rPr lang="en-US" altLang="zh-CN" sz="1200" b="0" i="1">
                          <a:latin typeface="Cambria Math" panose="02040503050406030204" pitchFamily="18" charset="0"/>
                        </a:rPr>
                        <m:t>−</m:t>
                      </m:r>
                      <m:r>
                        <a:rPr lang="en-US" altLang="zh-CN" sz="1200" b="0" i="1">
                          <a:latin typeface="Cambria Math" panose="02040503050406030204" pitchFamily="18" charset="0"/>
                        </a:rPr>
                        <m:t>𝐹</m:t>
                      </m:r>
                    </m:oMath>
                  </m:oMathPara>
                </a14:m>
                <a:endParaRPr lang="en-US" altLang="zh-CN" sz="1200"/>
              </a:p>
              <a:p>
                <a:endParaRPr lang="en-US" altLang="zh-CN" sz="1400"/>
              </a:p>
              <a:p>
                <a:endParaRPr lang="zh-CN" altLang="en-US" sz="1400"/>
              </a:p>
            </xdr:txBody>
          </xdr:sp>
        </mc:Choice>
        <mc:Fallback xmlns="">
          <xdr:sp macro="" textlink="">
            <xdr:nvSpPr>
              <xdr:cNvPr id="14" name="文本框 13"/>
              <xdr:cNvSpPr txBox="1"/>
            </xdr:nvSpPr>
            <xdr:spPr>
              <a:xfrm>
                <a:off x="5669846" y="4895851"/>
                <a:ext cx="1713429" cy="809624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lIns="0" tIns="0" rIns="0" bIns="0" rtlCol="0" anchor="t"/>
              <a:lstStyle/>
              <a:p>
                <a:r>
                  <a:rPr lang="en-US" altLang="zh-CN" sz="1200" b="0" i="0">
                    <a:latin typeface="Cambria Math" panose="02040503050406030204" pitchFamily="18" charset="0"/>
                  </a:rPr>
                  <a:t>Q_𝑜𝑝𝑡</a:t>
                </a:r>
                <a:r>
                  <a:rPr lang="en-US" altLang="zh-CN" sz="1400"/>
                  <a:t>=</a:t>
                </a:r>
                <a:r>
                  <a:rPr lang="en-US" altLang="zh-CN" sz="1400" i="0">
                    <a:latin typeface="Cambria Math" panose="02040503050406030204" pitchFamily="18" charset="0"/>
                  </a:rPr>
                  <a:t>(</a:t>
                </a:r>
                <a:r>
                  <a:rPr lang="en-US" altLang="zh-CN" sz="1400" b="0" i="0">
                    <a:latin typeface="Cambria Math" panose="02040503050406030204" pitchFamily="18" charset="0"/>
                  </a:rPr>
                  <a:t>𝑣−𝑎)/2𝑏</a:t>
                </a:r>
                <a:endParaRPr lang="en-US" altLang="zh-CN" sz="1400"/>
              </a:p>
              <a:p>
                <a:pPr/>
                <a:r>
                  <a:rPr lang="el-GR" altLang="zh-CN" sz="1200" i="0">
                    <a:solidFill>
                      <a:schemeClr val="dk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𝜋_</a:t>
                </a:r>
                <a:r>
                  <a:rPr lang="en-US" altLang="zh-CN" sz="1200" b="0" i="0">
                    <a:latin typeface="Cambria Math" panose="02040503050406030204" pitchFamily="18" charset="0"/>
                  </a:rPr>
                  <a:t>𝑚𝑎𝑥=−(𝑣−𝑎)^2/4𝑏−𝐹</a:t>
                </a:r>
                <a:endParaRPr lang="en-US" altLang="zh-CN" sz="1200"/>
              </a:p>
              <a:p>
                <a:endParaRPr lang="en-US" altLang="zh-CN" sz="1400"/>
              </a:p>
              <a:p>
                <a:endParaRPr lang="zh-CN" altLang="en-US" sz="1400"/>
              </a:p>
            </xdr:txBody>
          </xdr:sp>
        </mc:Fallback>
      </mc:AlternateContent>
      <xdr:pic>
        <xdr:nvPicPr>
          <xdr:cNvPr id="15" name="图片 14"/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7705724" y="4629150"/>
            <a:ext cx="4410373" cy="2181225"/>
          </a:xfrm>
          <a:prstGeom prst="rect">
            <a:avLst/>
          </a:prstGeom>
        </xdr:spPr>
      </xdr:pic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23</xdr:row>
      <xdr:rowOff>161926</xdr:rowOff>
    </xdr:from>
    <xdr:to>
      <xdr:col>4</xdr:col>
      <xdr:colOff>532616</xdr:colOff>
      <xdr:row>44</xdr:row>
      <xdr:rowOff>94895</xdr:rowOff>
    </xdr:to>
    <xdr:grpSp>
      <xdr:nvGrpSpPr>
        <xdr:cNvPr id="7" name="组合 6"/>
        <xdr:cNvGrpSpPr/>
      </xdr:nvGrpSpPr>
      <xdr:grpSpPr>
        <a:xfrm>
          <a:off x="123825" y="4543426"/>
          <a:ext cx="3799691" cy="3933469"/>
          <a:chOff x="2981182" y="6029325"/>
          <a:chExt cx="6457309" cy="3933469"/>
        </a:xfrm>
      </xdr:grpSpPr>
      <xdr:pic>
        <xdr:nvPicPr>
          <xdr:cNvPr id="9" name="图片 8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981182" y="6029325"/>
            <a:ext cx="6388543" cy="180952"/>
          </a:xfrm>
          <a:prstGeom prst="rect">
            <a:avLst/>
          </a:prstGeom>
        </xdr:spPr>
      </xdr:pic>
      <xdr:pic>
        <xdr:nvPicPr>
          <xdr:cNvPr id="11" name="图片 10"/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3162300" y="7115175"/>
            <a:ext cx="6276191" cy="2847619"/>
          </a:xfrm>
          <a:prstGeom prst="rect">
            <a:avLst/>
          </a:prstGeom>
        </xdr:spPr>
      </xdr:pic>
    </xdr:grpSp>
    <xdr:clientData/>
  </xdr:twoCellAnchor>
  <xdr:twoCellAnchor>
    <xdr:from>
      <xdr:col>17</xdr:col>
      <xdr:colOff>342900</xdr:colOff>
      <xdr:row>17</xdr:row>
      <xdr:rowOff>114300</xdr:rowOff>
    </xdr:from>
    <xdr:to>
      <xdr:col>26</xdr:col>
      <xdr:colOff>266700</xdr:colOff>
      <xdr:row>34</xdr:row>
      <xdr:rowOff>38100</xdr:rowOff>
    </xdr:to>
    <xdr:graphicFrame macro="">
      <xdr:nvGraphicFramePr>
        <xdr:cNvPr id="12" name="图表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276225</xdr:colOff>
      <xdr:row>11</xdr:row>
      <xdr:rowOff>76199</xdr:rowOff>
    </xdr:from>
    <xdr:to>
      <xdr:col>10</xdr:col>
      <xdr:colOff>257175</xdr:colOff>
      <xdr:row>50</xdr:row>
      <xdr:rowOff>114300</xdr:rowOff>
    </xdr:to>
    <xdr:grpSp>
      <xdr:nvGrpSpPr>
        <xdr:cNvPr id="13" name="组合 12"/>
        <xdr:cNvGrpSpPr/>
      </xdr:nvGrpSpPr>
      <xdr:grpSpPr>
        <a:xfrm>
          <a:off x="400050" y="2171699"/>
          <a:ext cx="7429500" cy="7467601"/>
          <a:chOff x="2733675" y="3390899"/>
          <a:chExt cx="7429500" cy="6724651"/>
        </a:xfrm>
      </xdr:grpSpPr>
      <xdr:sp macro="" textlink="">
        <xdr:nvSpPr>
          <xdr:cNvPr id="14" name="Text Box 11"/>
          <xdr:cNvSpPr txBox="1">
            <a:spLocks noChangeArrowheads="1"/>
          </xdr:cNvSpPr>
        </xdr:nvSpPr>
        <xdr:spPr bwMode="auto">
          <a:xfrm>
            <a:off x="2733675" y="3390899"/>
            <a:ext cx="7429500" cy="6724651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>
            <a:solidFill>
              <a:sysClr val="windowText" lastClr="000000"/>
            </a:solidFill>
            <a:miter lim="800000"/>
            <a:headEnd/>
            <a:tailEnd/>
          </a:ln>
        </xdr:spPr>
        <xdr:txBody>
          <a:bodyPr vertOverflow="clip" wrap="square" lIns="36576" tIns="18288" rIns="0" bIns="0" anchor="t" upright="1"/>
          <a:lstStyle/>
          <a:p>
            <a:r>
              <a:rPr lang="zh-CN" altLang="en-US" sz="1100" b="1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第</a:t>
            </a:r>
            <a:r>
              <a:rPr lang="en-US" altLang="zh-CN" sz="1100" b="1" i="0" u="none" strike="noStrike" baseline="0">
                <a:solidFill>
                  <a:srgbClr val="000000"/>
                </a:solidFill>
                <a:latin typeface="+mn-ea"/>
                <a:ea typeface="+mn-ea"/>
                <a:cs typeface="Arial"/>
              </a:rPr>
              <a:t>8</a:t>
            </a:r>
            <a:r>
              <a:rPr lang="zh-CN" altLang="en-US" sz="1100" b="1" i="0" u="none" strike="noStrike" baseline="0">
                <a:solidFill>
                  <a:srgbClr val="000000"/>
                </a:solidFill>
                <a:latin typeface="+mn-ea"/>
                <a:ea typeface="+mn-ea"/>
                <a:cs typeface="Arial"/>
              </a:rPr>
              <a:t>题 </a:t>
            </a:r>
            <a:r>
              <a:rPr lang="en-US" altLang="zh-CN" sz="1100" b="1" i="0" u="none" strike="noStrike" baseline="0">
                <a:solidFill>
                  <a:srgbClr val="000000"/>
                </a:solidFill>
                <a:latin typeface="+mn-ea"/>
                <a:ea typeface="+mn-ea"/>
                <a:cs typeface="Arial"/>
              </a:rPr>
              <a:t>(11</a:t>
            </a:r>
            <a:r>
              <a:rPr lang="zh-CN" altLang="en-US" sz="1100" b="1" i="0" u="none" strike="noStrike" baseline="0">
                <a:solidFill>
                  <a:srgbClr val="000000"/>
                </a:solidFill>
                <a:latin typeface="+mn-ea"/>
                <a:ea typeface="+mn-ea"/>
                <a:cs typeface="Arial"/>
              </a:rPr>
              <a:t>分） 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+mn-ea"/>
                <a:ea typeface="+mn-ea"/>
                <a:cs typeface="Arial"/>
              </a:rPr>
              <a:t>星火五金公司</a:t>
            </a:r>
            <a:r>
              <a:rPr lang="zh-CN" altLang="en-US" sz="1100">
                <a:effectLst/>
                <a:latin typeface="+mn-ea"/>
                <a:ea typeface="+mn-ea"/>
                <a:cs typeface="+mn-cs"/>
              </a:rPr>
              <a:t>在一年期间</a:t>
            </a:r>
            <a:r>
              <a:rPr lang="zh-CN" altLang="zh-CN" sz="1100">
                <a:effectLst/>
                <a:latin typeface="+mn-ea"/>
                <a:ea typeface="+mn-ea"/>
                <a:cs typeface="+mn-cs"/>
              </a:rPr>
              <a:t>需求</a:t>
            </a:r>
            <a:r>
              <a:rPr lang="zh-CN" altLang="en-US" sz="1100">
                <a:effectLst/>
                <a:latin typeface="+mn-ea"/>
                <a:ea typeface="+mn-ea"/>
                <a:cs typeface="+mn-cs"/>
              </a:rPr>
              <a:t>某种零件</a:t>
            </a:r>
            <a:r>
              <a:rPr lang="zh-CN" altLang="zh-CN" sz="1100">
                <a:effectLst/>
                <a:latin typeface="+mn-ea"/>
                <a:ea typeface="+mn-ea"/>
                <a:cs typeface="+mn-cs"/>
              </a:rPr>
              <a:t>，一次订货的订货成本是</a:t>
            </a:r>
            <a:r>
              <a:rPr lang="en-US" altLang="zh-CN" sz="1100">
                <a:effectLst/>
                <a:latin typeface="+mn-ea"/>
                <a:ea typeface="+mn-ea"/>
                <a:cs typeface="+mn-cs"/>
              </a:rPr>
              <a:t>400</a:t>
            </a:r>
            <a:r>
              <a:rPr lang="zh-CN" altLang="zh-CN" sz="1100">
                <a:effectLst/>
                <a:latin typeface="+mn-ea"/>
                <a:ea typeface="+mn-ea"/>
                <a:cs typeface="+mn-cs"/>
              </a:rPr>
              <a:t>元，</a:t>
            </a:r>
            <a:r>
              <a:rPr lang="zh-CN" altLang="en-US" sz="1100">
                <a:effectLst/>
                <a:latin typeface="+mn-ea"/>
                <a:ea typeface="+mn-ea"/>
                <a:cs typeface="+mn-cs"/>
              </a:rPr>
              <a:t>日</a:t>
            </a:r>
            <a:r>
              <a:rPr lang="zh-CN" altLang="zh-CN" sz="1100">
                <a:effectLst/>
                <a:latin typeface="+mn-ea"/>
                <a:ea typeface="+mn-ea"/>
                <a:cs typeface="+mn-cs"/>
              </a:rPr>
              <a:t>单位储存成本是</a:t>
            </a:r>
            <a:r>
              <a:rPr lang="zh-CN" altLang="en-US" sz="1100">
                <a:effectLst/>
                <a:latin typeface="+mn-ea"/>
                <a:ea typeface="+mn-ea"/>
                <a:cs typeface="+mn-cs"/>
              </a:rPr>
              <a:t>服从</a:t>
            </a:r>
            <a:r>
              <a:rPr lang="en-US" altLang="zh-CN" sz="1100">
                <a:effectLst/>
                <a:latin typeface="+mn-ea"/>
                <a:ea typeface="+mn-ea"/>
                <a:cs typeface="+mn-cs"/>
              </a:rPr>
              <a:t>0.06</a:t>
            </a:r>
            <a:r>
              <a:rPr lang="zh-CN" altLang="en-US" sz="1100">
                <a:effectLst/>
                <a:latin typeface="+mn-ea"/>
                <a:ea typeface="+mn-ea"/>
                <a:cs typeface="+mn-cs"/>
              </a:rPr>
              <a:t>元至</a:t>
            </a:r>
            <a:r>
              <a:rPr lang="en-US" altLang="zh-CN" sz="1100">
                <a:effectLst/>
                <a:latin typeface="+mn-ea"/>
                <a:ea typeface="+mn-ea"/>
                <a:cs typeface="+mn-cs"/>
              </a:rPr>
              <a:t>0.1</a:t>
            </a:r>
            <a:r>
              <a:rPr lang="zh-CN" altLang="zh-CN" sz="1100">
                <a:effectLst/>
                <a:latin typeface="+mn-ea"/>
                <a:ea typeface="+mn-ea"/>
                <a:cs typeface="+mn-cs"/>
              </a:rPr>
              <a:t>元</a:t>
            </a:r>
            <a:r>
              <a:rPr lang="zh-CN" altLang="en-US" sz="1100">
                <a:effectLst/>
                <a:latin typeface="+mn-ea"/>
                <a:ea typeface="+mn-ea"/>
                <a:cs typeface="+mn-cs"/>
              </a:rPr>
              <a:t>间变化的均匀分布的随机数</a:t>
            </a:r>
            <a:r>
              <a:rPr lang="zh-CN" altLang="zh-CN" sz="1100">
                <a:effectLst/>
                <a:latin typeface="+mn-ea"/>
                <a:ea typeface="+mn-ea"/>
                <a:cs typeface="+mn-cs"/>
              </a:rPr>
              <a:t>。</a:t>
            </a:r>
            <a:r>
              <a:rPr lang="zh-CN" altLang="en-US" sz="1100">
                <a:effectLst/>
                <a:latin typeface="+mn-ea"/>
                <a:ea typeface="+mn-ea"/>
                <a:cs typeface="+mn-cs"/>
              </a:rPr>
              <a:t>订货量是服从均值为</a:t>
            </a:r>
            <a:r>
              <a:rPr lang="en-US" altLang="zh-CN" sz="1100">
                <a:effectLst/>
                <a:latin typeface="+mn-ea"/>
                <a:ea typeface="+mn-ea"/>
                <a:cs typeface="+mn-cs"/>
              </a:rPr>
              <a:t>200</a:t>
            </a:r>
            <a:r>
              <a:rPr lang="zh-CN" altLang="en-US" sz="1100">
                <a:effectLst/>
                <a:latin typeface="+mn-ea"/>
                <a:ea typeface="+mn-ea"/>
                <a:cs typeface="+mn-cs"/>
              </a:rPr>
              <a:t>的泊松分布的</a:t>
            </a:r>
            <a:r>
              <a:rPr lang="zh-CN" altLang="zh-CN" sz="1100">
                <a:effectLst/>
                <a:latin typeface="+mn-lt"/>
                <a:ea typeface="+mn-ea"/>
                <a:cs typeface="+mn-cs"/>
              </a:rPr>
              <a:t>随机</a:t>
            </a:r>
            <a:r>
              <a:rPr lang="zh-CN" altLang="en-US" sz="1100">
                <a:effectLst/>
                <a:latin typeface="+mn-ea"/>
                <a:ea typeface="+mn-ea"/>
                <a:cs typeface="+mn-cs"/>
              </a:rPr>
              <a:t>整数，日需求量是服从先验概率的</a:t>
            </a:r>
            <a:r>
              <a:rPr lang="en-US" altLang="zh-CN" sz="1100">
                <a:effectLst/>
                <a:latin typeface="+mn-ea"/>
                <a:ea typeface="+mn-ea"/>
                <a:cs typeface="+mn-cs"/>
              </a:rPr>
              <a:t>50</a:t>
            </a:r>
            <a:r>
              <a:rPr lang="zh-CN" altLang="en-US" sz="1100">
                <a:effectLst/>
                <a:latin typeface="+mn-ea"/>
                <a:ea typeface="+mn-ea"/>
                <a:cs typeface="+mn-cs"/>
              </a:rPr>
              <a:t>至</a:t>
            </a:r>
            <a:r>
              <a:rPr lang="en-US" altLang="zh-CN" sz="1100">
                <a:effectLst/>
                <a:latin typeface="+mn-ea"/>
                <a:ea typeface="+mn-ea"/>
                <a:cs typeface="+mn-cs"/>
              </a:rPr>
              <a:t>55</a:t>
            </a:r>
            <a:r>
              <a:rPr lang="zh-CN" altLang="en-US" sz="1100">
                <a:effectLst/>
                <a:latin typeface="+mn-ea"/>
                <a:ea typeface="+mn-ea"/>
                <a:cs typeface="+mn-cs"/>
              </a:rPr>
              <a:t>之间的</a:t>
            </a:r>
            <a:r>
              <a:rPr lang="zh-CN" altLang="zh-CN" sz="1100">
                <a:effectLst/>
                <a:latin typeface="+mn-lt"/>
                <a:ea typeface="+mn-ea"/>
                <a:cs typeface="+mn-cs"/>
              </a:rPr>
              <a:t>随机</a:t>
            </a:r>
            <a:r>
              <a:rPr lang="zh-CN" altLang="en-US" sz="1100">
                <a:effectLst/>
                <a:latin typeface="+mn-lt"/>
                <a:ea typeface="+mn-ea"/>
                <a:cs typeface="+mn-cs"/>
              </a:rPr>
              <a:t>数</a:t>
            </a:r>
            <a:r>
              <a:rPr lang="zh-CN" altLang="en-US" sz="1100">
                <a:effectLst/>
                <a:latin typeface="+mn-ea"/>
                <a:ea typeface="+mn-ea"/>
                <a:cs typeface="+mn-cs"/>
              </a:rPr>
              <a:t>（如下表所示）。</a:t>
            </a:r>
            <a:endParaRPr lang="en-US" altLang="zh-CN" sz="1100">
              <a:effectLst/>
              <a:latin typeface="+mn-ea"/>
              <a:ea typeface="+mn-ea"/>
              <a:cs typeface="+mn-cs"/>
            </a:endParaRPr>
          </a:p>
          <a:p>
            <a:endParaRPr lang="en-US" altLang="zh-CN" sz="1100">
              <a:effectLst/>
              <a:latin typeface="+mn-ea"/>
              <a:ea typeface="+mn-ea"/>
              <a:cs typeface="+mn-cs"/>
            </a:endParaRPr>
          </a:p>
          <a:p>
            <a:endParaRPr lang="en-US" altLang="zh-CN" sz="1100">
              <a:effectLst/>
              <a:latin typeface="+mn-ea"/>
              <a:ea typeface="+mn-ea"/>
              <a:cs typeface="+mn-cs"/>
            </a:endParaRPr>
          </a:p>
          <a:p>
            <a:endParaRPr lang="en-US" altLang="zh-CN" sz="1100">
              <a:effectLst/>
              <a:latin typeface="+mn-ea"/>
              <a:ea typeface="+mn-ea"/>
              <a:cs typeface="+mn-cs"/>
            </a:endParaRPr>
          </a:p>
          <a:p>
            <a:endParaRPr lang="en-US" altLang="zh-CN" sz="1100">
              <a:effectLst/>
              <a:latin typeface="+mn-ea"/>
              <a:ea typeface="+mn-ea"/>
              <a:cs typeface="+mn-cs"/>
            </a:endParaRPr>
          </a:p>
          <a:p>
            <a:endParaRPr lang="en-US" altLang="zh-CN" sz="1100">
              <a:effectLst/>
              <a:latin typeface="+mn-ea"/>
              <a:ea typeface="+mn-ea"/>
              <a:cs typeface="+mn-cs"/>
            </a:endParaRPr>
          </a:p>
          <a:p>
            <a:endParaRPr lang="en-US" altLang="zh-CN" sz="1100">
              <a:effectLst/>
              <a:latin typeface="+mn-ea"/>
              <a:ea typeface="+mn-ea"/>
              <a:cs typeface="+mn-cs"/>
            </a:endParaRPr>
          </a:p>
          <a:p>
            <a:endParaRPr lang="en-US" altLang="zh-CN" sz="1100">
              <a:effectLst/>
              <a:latin typeface="+mn-ea"/>
              <a:ea typeface="+mn-ea"/>
              <a:cs typeface="+mn-cs"/>
            </a:endParaRPr>
          </a:p>
          <a:p>
            <a:r>
              <a:rPr lang="zh-CN" altLang="zh-CN" sz="1100">
                <a:effectLst/>
                <a:latin typeface="+mn-ea"/>
                <a:ea typeface="+mn-ea"/>
                <a:cs typeface="+mn-cs"/>
              </a:rPr>
              <a:t>要求：</a:t>
            </a:r>
          </a:p>
          <a:p>
            <a:r>
              <a:rPr lang="en-US" altLang="zh-CN" sz="1100">
                <a:effectLst/>
                <a:latin typeface="+mn-ea"/>
                <a:ea typeface="+mn-ea"/>
                <a:cs typeface="+mn-cs"/>
              </a:rPr>
              <a:t>1</a:t>
            </a:r>
            <a:r>
              <a:rPr lang="zh-CN" altLang="en-US" sz="1100">
                <a:effectLst/>
                <a:latin typeface="+mn-ea"/>
                <a:ea typeface="+mn-ea"/>
                <a:cs typeface="+mn-cs"/>
              </a:rPr>
              <a:t>、</a:t>
            </a:r>
            <a:r>
              <a:rPr lang="zh-CN" altLang="zh-CN" sz="1100">
                <a:effectLst/>
                <a:latin typeface="+mn-lt"/>
                <a:ea typeface="+mn-ea"/>
                <a:cs typeface="+mn-cs"/>
              </a:rPr>
              <a:t>初始库存为</a:t>
            </a:r>
            <a:r>
              <a:rPr lang="en-US" altLang="zh-CN" sz="1100">
                <a:effectLst/>
                <a:latin typeface="+mn-lt"/>
                <a:ea typeface="+mn-ea"/>
                <a:cs typeface="+mn-cs"/>
              </a:rPr>
              <a:t>300</a:t>
            </a:r>
            <a:r>
              <a:rPr lang="zh-CN" altLang="en-US" sz="1100">
                <a:effectLst/>
                <a:latin typeface="+mn-lt"/>
                <a:ea typeface="+mn-ea"/>
                <a:cs typeface="+mn-cs"/>
              </a:rPr>
              <a:t>，</a:t>
            </a:r>
            <a:r>
              <a:rPr lang="zh-CN" altLang="zh-CN" sz="1100">
                <a:effectLst/>
                <a:latin typeface="+mn-ea"/>
                <a:ea typeface="+mn-ea"/>
                <a:cs typeface="+mn-cs"/>
              </a:rPr>
              <a:t>模拟出</a:t>
            </a:r>
            <a:r>
              <a:rPr lang="zh-CN" altLang="en-US" sz="1100">
                <a:effectLst/>
                <a:latin typeface="+mn-ea"/>
                <a:ea typeface="+mn-ea"/>
                <a:cs typeface="+mn-cs"/>
              </a:rPr>
              <a:t>一年（</a:t>
            </a:r>
            <a:r>
              <a:rPr lang="en-US" altLang="zh-CN" sz="1100">
                <a:effectLst/>
                <a:latin typeface="+mn-ea"/>
                <a:ea typeface="+mn-ea"/>
                <a:cs typeface="+mn-cs"/>
              </a:rPr>
              <a:t>365</a:t>
            </a:r>
            <a:r>
              <a:rPr lang="zh-CN" altLang="en-US" sz="1100">
                <a:effectLst/>
                <a:latin typeface="+mn-ea"/>
                <a:ea typeface="+mn-ea"/>
                <a:cs typeface="+mn-cs"/>
              </a:rPr>
              <a:t>天）</a:t>
            </a:r>
            <a:r>
              <a:rPr lang="zh-CN" altLang="zh-CN" sz="1100">
                <a:effectLst/>
                <a:latin typeface="+mn-ea"/>
                <a:ea typeface="+mn-ea"/>
                <a:cs typeface="+mn-cs"/>
              </a:rPr>
              <a:t>的库存变化情况</a:t>
            </a:r>
            <a:r>
              <a:rPr lang="zh-CN" altLang="en-US" sz="1100">
                <a:effectLst/>
                <a:latin typeface="+mn-ea"/>
                <a:ea typeface="+mn-ea"/>
                <a:cs typeface="+mn-cs"/>
              </a:rPr>
              <a:t>及每天的订货成本、储存成本、总成本。</a:t>
            </a:r>
            <a:r>
              <a:rPr lang="zh-CN" altLang="zh-CN" sz="1100">
                <a:effectLst/>
                <a:latin typeface="+mn-ea"/>
                <a:ea typeface="+mn-ea"/>
                <a:cs typeface="+mn-cs"/>
              </a:rPr>
              <a:t>每次订货的交货期为</a:t>
            </a:r>
            <a:r>
              <a:rPr lang="en-US" altLang="zh-CN" sz="1100">
                <a:effectLst/>
                <a:latin typeface="+mn-ea"/>
                <a:ea typeface="+mn-ea"/>
                <a:cs typeface="+mn-cs"/>
              </a:rPr>
              <a:t>1</a:t>
            </a:r>
            <a:r>
              <a:rPr lang="zh-CN" altLang="zh-CN" sz="1100">
                <a:effectLst/>
                <a:latin typeface="+mn-ea"/>
                <a:ea typeface="+mn-ea"/>
                <a:cs typeface="+mn-cs"/>
              </a:rPr>
              <a:t>至</a:t>
            </a:r>
            <a:r>
              <a:rPr lang="en-US" altLang="zh-CN" sz="1100">
                <a:effectLst/>
                <a:latin typeface="+mn-ea"/>
                <a:ea typeface="+mn-ea"/>
                <a:cs typeface="+mn-cs"/>
              </a:rPr>
              <a:t>2</a:t>
            </a:r>
            <a:r>
              <a:rPr lang="zh-CN" altLang="zh-CN" sz="1100">
                <a:effectLst/>
                <a:latin typeface="+mn-ea"/>
                <a:ea typeface="+mn-ea"/>
                <a:cs typeface="+mn-cs"/>
              </a:rPr>
              <a:t>之间的均匀</a:t>
            </a:r>
            <a:r>
              <a:rPr lang="zh-CN" altLang="en-US" sz="1100">
                <a:effectLst/>
                <a:latin typeface="+mn-ea"/>
                <a:ea typeface="+mn-ea"/>
                <a:cs typeface="+mn-cs"/>
              </a:rPr>
              <a:t>分布的</a:t>
            </a:r>
            <a:r>
              <a:rPr lang="zh-CN" altLang="zh-CN" sz="1100">
                <a:effectLst/>
                <a:latin typeface="+mn-ea"/>
                <a:ea typeface="+mn-ea"/>
                <a:cs typeface="+mn-cs"/>
              </a:rPr>
              <a:t>随机整数，不允许缺货。</a:t>
            </a:r>
            <a:r>
              <a:rPr lang="zh-CN" altLang="en-US" sz="1100">
                <a:effectLst/>
                <a:latin typeface="+mn-ea"/>
                <a:ea typeface="+mn-ea"/>
                <a:cs typeface="+mn-cs"/>
              </a:rPr>
              <a:t>根据模拟的数据</a:t>
            </a:r>
            <a:r>
              <a:rPr lang="zh-CN" altLang="zh-CN" sz="1100">
                <a:effectLst/>
                <a:latin typeface="+mn-ea"/>
                <a:ea typeface="+mn-ea"/>
                <a:cs typeface="+mn-cs"/>
              </a:rPr>
              <a:t>计算</a:t>
            </a:r>
            <a:r>
              <a:rPr lang="zh-CN" altLang="en-US" sz="1100">
                <a:effectLst/>
                <a:latin typeface="+mn-ea"/>
                <a:ea typeface="+mn-ea"/>
                <a:cs typeface="+mn-cs"/>
              </a:rPr>
              <a:t>出模拟</a:t>
            </a:r>
            <a:r>
              <a:rPr lang="zh-CN" altLang="zh-CN" sz="1100">
                <a:effectLst/>
                <a:latin typeface="+mn-ea"/>
                <a:ea typeface="+mn-ea"/>
                <a:cs typeface="+mn-cs"/>
              </a:rPr>
              <a:t>年总成本</a:t>
            </a:r>
            <a:r>
              <a:rPr lang="zh-CN" altLang="en-US" sz="1100">
                <a:effectLst/>
                <a:latin typeface="+mn-ea"/>
                <a:ea typeface="+mn-ea"/>
                <a:cs typeface="+mn-cs"/>
              </a:rPr>
              <a:t>。</a:t>
            </a:r>
            <a:endParaRPr lang="zh-CN" altLang="zh-CN" sz="1100">
              <a:effectLst/>
              <a:latin typeface="+mn-ea"/>
              <a:ea typeface="+mn-ea"/>
              <a:cs typeface="+mn-cs"/>
            </a:endParaRPr>
          </a:p>
          <a:p>
            <a:pPr algn="l" rtl="0">
              <a:lnSpc>
                <a:spcPts val="1200"/>
              </a:lnSpc>
              <a:defRPr sz="1000"/>
            </a:pPr>
            <a:endParaRPr lang="en-US" altLang="zh-CN" sz="1100" b="0" i="0" u="none" strike="noStrike" baseline="0">
              <a:solidFill>
                <a:srgbClr val="000000"/>
              </a:solidFill>
              <a:latin typeface="+mn-ea"/>
              <a:ea typeface="+mn-ea"/>
              <a:cs typeface="Arial"/>
            </a:endParaRPr>
          </a:p>
          <a:p>
            <a:pPr algn="l" rtl="0">
              <a:lnSpc>
                <a:spcPts val="1200"/>
              </a:lnSpc>
              <a:defRPr sz="1000"/>
            </a:pPr>
            <a:endParaRPr lang="en-US" altLang="zh-CN" sz="1100" b="0" i="0" u="none" strike="noStrike" baseline="0">
              <a:solidFill>
                <a:srgbClr val="000000"/>
              </a:solidFill>
              <a:latin typeface="+mn-ea"/>
              <a:ea typeface="+mn-ea"/>
              <a:cs typeface="Arial"/>
            </a:endParaRPr>
          </a:p>
          <a:p>
            <a:pPr algn="l" rtl="0">
              <a:lnSpc>
                <a:spcPts val="1200"/>
              </a:lnSpc>
              <a:defRPr sz="1000"/>
            </a:pPr>
            <a:endParaRPr lang="en-US" altLang="zh-CN" sz="1100" b="0" i="0" u="none" strike="noStrike" baseline="0">
              <a:solidFill>
                <a:srgbClr val="000000"/>
              </a:solidFill>
              <a:latin typeface="+mn-ea"/>
              <a:ea typeface="+mn-ea"/>
              <a:cs typeface="Arial"/>
            </a:endParaRPr>
          </a:p>
          <a:p>
            <a:pPr algn="l" rtl="0">
              <a:lnSpc>
                <a:spcPts val="1200"/>
              </a:lnSpc>
              <a:defRPr sz="1000"/>
            </a:pPr>
            <a:endParaRPr lang="en-US" altLang="zh-CN" sz="1100" b="0" i="0" u="none" strike="noStrike" baseline="0">
              <a:solidFill>
                <a:srgbClr val="000000"/>
              </a:solidFill>
              <a:latin typeface="+mn-ea"/>
              <a:ea typeface="+mn-ea"/>
              <a:cs typeface="Arial"/>
            </a:endParaRPr>
          </a:p>
          <a:p>
            <a:pPr algn="l" rtl="0">
              <a:lnSpc>
                <a:spcPts val="1200"/>
              </a:lnSpc>
              <a:defRPr sz="1000"/>
            </a:pPr>
            <a:endParaRPr lang="en-US" altLang="zh-CN" sz="1100" b="0" i="0" u="none" strike="noStrike" baseline="0">
              <a:solidFill>
                <a:srgbClr val="000000"/>
              </a:solidFill>
              <a:latin typeface="+mn-ea"/>
              <a:ea typeface="+mn-ea"/>
              <a:cs typeface="Arial"/>
            </a:endParaRPr>
          </a:p>
          <a:p>
            <a:pPr algn="l" rtl="0">
              <a:lnSpc>
                <a:spcPts val="1200"/>
              </a:lnSpc>
              <a:defRPr sz="1000"/>
            </a:pPr>
            <a:r>
              <a:rPr lang="en-US" altLang="zh-CN" sz="1100" b="0" i="0" u="none" strike="noStrike" baseline="0">
                <a:solidFill>
                  <a:srgbClr val="000000"/>
                </a:solidFill>
                <a:latin typeface="+mn-ea"/>
                <a:ea typeface="+mn-ea"/>
                <a:cs typeface="Arial"/>
              </a:rPr>
              <a:t>2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+mn-ea"/>
                <a:ea typeface="+mn-ea"/>
                <a:cs typeface="Arial"/>
              </a:rPr>
              <a:t>、当一次订货的订货成本由</a:t>
            </a:r>
            <a:r>
              <a:rPr lang="en-US" altLang="zh-CN" sz="1100" b="0" i="0" u="none" strike="noStrike" baseline="0">
                <a:solidFill>
                  <a:srgbClr val="000000"/>
                </a:solidFill>
                <a:latin typeface="+mn-ea"/>
                <a:ea typeface="+mn-ea"/>
                <a:cs typeface="Arial"/>
              </a:rPr>
              <a:t>380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+mn-ea"/>
                <a:ea typeface="+mn-ea"/>
                <a:cs typeface="Arial"/>
              </a:rPr>
              <a:t>、</a:t>
            </a:r>
            <a:r>
              <a:rPr lang="en-US" altLang="zh-CN" sz="1100" b="0" i="0" u="none" strike="noStrike" baseline="0">
                <a:solidFill>
                  <a:srgbClr val="000000"/>
                </a:solidFill>
                <a:latin typeface="+mn-ea"/>
                <a:ea typeface="+mn-ea"/>
                <a:cs typeface="Arial"/>
              </a:rPr>
              <a:t>390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+mn-ea"/>
                <a:ea typeface="+mn-ea"/>
                <a:cs typeface="Arial"/>
              </a:rPr>
              <a:t>、</a:t>
            </a:r>
            <a:r>
              <a:rPr lang="en-US" altLang="zh-CN" sz="1100" b="0" i="0" u="none" strike="noStrike" baseline="0">
                <a:solidFill>
                  <a:srgbClr val="000000"/>
                </a:solidFill>
                <a:latin typeface="+mn-ea"/>
                <a:ea typeface="+mn-ea"/>
                <a:cs typeface="Arial"/>
              </a:rPr>
              <a:t>400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+mn-ea"/>
                <a:ea typeface="+mn-ea"/>
                <a:cs typeface="Arial"/>
              </a:rPr>
              <a:t>、</a:t>
            </a:r>
            <a:r>
              <a:rPr lang="en-US" altLang="zh-CN" sz="1100" b="0" i="0" u="none" strike="noStrike" baseline="0">
                <a:solidFill>
                  <a:srgbClr val="000000"/>
                </a:solidFill>
                <a:latin typeface="+mn-ea"/>
                <a:ea typeface="+mn-ea"/>
                <a:cs typeface="Arial"/>
              </a:rPr>
              <a:t>410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+mn-ea"/>
                <a:ea typeface="+mn-ea"/>
                <a:cs typeface="Arial"/>
              </a:rPr>
              <a:t>、</a:t>
            </a:r>
            <a:r>
              <a:rPr lang="en-US" altLang="zh-CN" sz="1100" b="0" i="0" u="none" strike="noStrike" baseline="0">
                <a:solidFill>
                  <a:srgbClr val="000000"/>
                </a:solidFill>
                <a:latin typeface="+mn-ea"/>
                <a:ea typeface="+mn-ea"/>
                <a:cs typeface="Arial"/>
              </a:rPr>
              <a:t>420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+mn-ea"/>
                <a:ea typeface="+mn-ea"/>
                <a:cs typeface="Arial"/>
              </a:rPr>
              <a:t>、</a:t>
            </a:r>
            <a:r>
              <a:rPr lang="en-US" altLang="zh-CN" sz="1100" b="0" i="0" u="none" strike="noStrike" baseline="0">
                <a:solidFill>
                  <a:srgbClr val="000000"/>
                </a:solidFill>
                <a:latin typeface="+mn-ea"/>
                <a:ea typeface="+mn-ea"/>
                <a:cs typeface="Arial"/>
              </a:rPr>
              <a:t>430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+mn-ea"/>
                <a:ea typeface="+mn-ea"/>
                <a:cs typeface="Arial"/>
              </a:rPr>
              <a:t>、</a:t>
            </a:r>
            <a:r>
              <a:rPr lang="en-US" altLang="zh-CN" sz="1100" b="0" i="0" u="none" strike="noStrike" baseline="0">
                <a:solidFill>
                  <a:srgbClr val="000000"/>
                </a:solidFill>
                <a:latin typeface="+mn-ea"/>
                <a:ea typeface="+mn-ea"/>
                <a:cs typeface="Arial"/>
              </a:rPr>
              <a:t>440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+mn-ea"/>
                <a:ea typeface="+mn-ea"/>
                <a:cs typeface="Arial"/>
              </a:rPr>
              <a:t>变化时，计算出经过</a:t>
            </a:r>
            <a:r>
              <a:rPr lang="en-US" altLang="zh-CN" sz="1100" b="0" i="0" u="none" strike="noStrike" baseline="0">
                <a:solidFill>
                  <a:srgbClr val="000000"/>
                </a:solidFill>
                <a:latin typeface="+mn-ea"/>
                <a:ea typeface="+mn-ea"/>
                <a:cs typeface="Arial"/>
              </a:rPr>
              <a:t>50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+mn-ea"/>
                <a:ea typeface="+mn-ea"/>
                <a:cs typeface="Arial"/>
              </a:rPr>
              <a:t>次模拟的年总成本均值，并绘制出如下图所示的图表。</a:t>
            </a:r>
          </a:p>
          <a:p>
            <a:pPr algn="l" rtl="0">
              <a:lnSpc>
                <a:spcPts val="1200"/>
              </a:lnSpc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+mn-ea"/>
              <a:ea typeface="+mn-ea"/>
              <a:cs typeface="Arial"/>
            </a:endParaRPr>
          </a:p>
          <a:p>
            <a:pPr algn="l" rtl="0">
              <a:lnSpc>
                <a:spcPts val="1200"/>
              </a:lnSpc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+mn-ea"/>
              <a:ea typeface="+mn-ea"/>
              <a:cs typeface="Arial"/>
            </a:endParaRPr>
          </a:p>
          <a:p>
            <a:pPr algn="l" rtl="0">
              <a:lnSpc>
                <a:spcPts val="1200"/>
              </a:lnSpc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+mn-ea"/>
              <a:ea typeface="+mn-ea"/>
              <a:cs typeface="Arial"/>
            </a:endParaRPr>
          </a:p>
          <a:p>
            <a:pPr algn="l" rtl="0">
              <a:lnSpc>
                <a:spcPts val="1200"/>
              </a:lnSpc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+mn-ea"/>
              <a:ea typeface="+mn-ea"/>
              <a:cs typeface="Arial"/>
            </a:endParaRPr>
          </a:p>
          <a:p>
            <a:pPr algn="l" rtl="0">
              <a:lnSpc>
                <a:spcPts val="1200"/>
              </a:lnSpc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+mn-ea"/>
              <a:ea typeface="+mn-ea"/>
              <a:cs typeface="Arial"/>
            </a:endParaRPr>
          </a:p>
          <a:p>
            <a:pPr algn="l" rtl="0">
              <a:lnSpc>
                <a:spcPts val="1200"/>
              </a:lnSpc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+mn-ea"/>
              <a:ea typeface="+mn-ea"/>
              <a:cs typeface="Arial"/>
            </a:endParaRPr>
          </a:p>
          <a:p>
            <a:pPr algn="l" rtl="0">
              <a:lnSpc>
                <a:spcPts val="1200"/>
              </a:lnSpc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+mn-ea"/>
              <a:ea typeface="+mn-ea"/>
              <a:cs typeface="Arial"/>
            </a:endParaRPr>
          </a:p>
          <a:p>
            <a:pPr algn="l" rtl="0">
              <a:lnSpc>
                <a:spcPts val="1200"/>
              </a:lnSpc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+mn-ea"/>
              <a:ea typeface="+mn-ea"/>
              <a:cs typeface="Arial"/>
            </a:endParaRPr>
          </a:p>
          <a:p>
            <a:pPr algn="l" rtl="0">
              <a:lnSpc>
                <a:spcPts val="1100"/>
              </a:lnSpc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+mn-ea"/>
              <a:ea typeface="+mn-ea"/>
              <a:cs typeface="Arial"/>
            </a:endParaRPr>
          </a:p>
          <a:p>
            <a:pPr algn="l" rtl="0">
              <a:lnSpc>
                <a:spcPts val="1200"/>
              </a:lnSpc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+mn-ea"/>
              <a:ea typeface="+mn-ea"/>
              <a:cs typeface="Arial"/>
            </a:endParaRPr>
          </a:p>
          <a:p>
            <a:pPr algn="l" rtl="0">
              <a:lnSpc>
                <a:spcPts val="1100"/>
              </a:lnSpc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+mn-ea"/>
              <a:ea typeface="+mn-ea"/>
              <a:cs typeface="Arial"/>
            </a:endParaRPr>
          </a:p>
          <a:p>
            <a:pPr algn="l" rtl="0">
              <a:lnSpc>
                <a:spcPts val="1200"/>
              </a:lnSpc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+mn-ea"/>
              <a:ea typeface="+mn-ea"/>
              <a:cs typeface="Arial"/>
            </a:endParaRPr>
          </a:p>
          <a:p>
            <a:pPr algn="l" rtl="0">
              <a:lnSpc>
                <a:spcPts val="1100"/>
              </a:lnSpc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+mn-ea"/>
              <a:ea typeface="+mn-ea"/>
              <a:cs typeface="Arial"/>
            </a:endParaRPr>
          </a:p>
          <a:p>
            <a:pPr algn="l" rtl="0">
              <a:lnSpc>
                <a:spcPts val="1200"/>
              </a:lnSpc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+mn-ea"/>
              <a:ea typeface="+mn-ea"/>
              <a:cs typeface="Arial"/>
            </a:endParaRPr>
          </a:p>
          <a:p>
            <a:pPr algn="l" rtl="0">
              <a:lnSpc>
                <a:spcPts val="1100"/>
              </a:lnSpc>
              <a:defRPr sz="1000"/>
            </a:pPr>
            <a:endParaRPr lang="en-US" altLang="zh-CN" sz="1100" b="0" i="0" u="none" strike="noStrike" baseline="0">
              <a:solidFill>
                <a:srgbClr val="000000"/>
              </a:solidFill>
              <a:latin typeface="+mn-ea"/>
              <a:ea typeface="+mn-ea"/>
              <a:cs typeface="Arial"/>
            </a:endParaRPr>
          </a:p>
          <a:p>
            <a:pPr algn="l" rtl="0">
              <a:lnSpc>
                <a:spcPts val="1100"/>
              </a:lnSpc>
              <a:defRPr sz="1000"/>
            </a:pPr>
            <a:endParaRPr lang="en-US" altLang="zh-CN" sz="1100" b="0" i="0" u="none" strike="noStrike" baseline="0">
              <a:solidFill>
                <a:srgbClr val="000000"/>
              </a:solidFill>
              <a:latin typeface="+mn-ea"/>
              <a:ea typeface="+mn-ea"/>
              <a:cs typeface="Arial"/>
            </a:endParaRPr>
          </a:p>
          <a:p>
            <a:pPr algn="l" rtl="0">
              <a:lnSpc>
                <a:spcPts val="1100"/>
              </a:lnSpc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+mn-ea"/>
              <a:ea typeface="+mn-ea"/>
              <a:cs typeface="Arial"/>
            </a:endParaRPr>
          </a:p>
          <a:p>
            <a:pPr algn="l" rtl="0">
              <a:lnSpc>
                <a:spcPts val="1200"/>
              </a:lnSpc>
              <a:defRPr sz="1000"/>
            </a:pPr>
            <a:endParaRPr lang="zh-CN" altLang="en-US" sz="1100" b="0" i="0" u="none" strike="noStrike" baseline="0">
              <a:solidFill>
                <a:srgbClr val="000000"/>
              </a:solidFill>
              <a:latin typeface="+mn-ea"/>
              <a:ea typeface="+mn-ea"/>
              <a:cs typeface="Arial"/>
            </a:endParaRPr>
          </a:p>
        </xdr:txBody>
      </xdr:sp>
      <xdr:pic>
        <xdr:nvPicPr>
          <xdr:cNvPr id="15" name="图片 14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981182" y="6029325"/>
            <a:ext cx="6388543" cy="180952"/>
          </a:xfrm>
          <a:prstGeom prst="rect">
            <a:avLst/>
          </a:prstGeom>
        </xdr:spPr>
      </xdr:pic>
      <xdr:pic>
        <xdr:nvPicPr>
          <xdr:cNvPr id="16" name="图片 15"/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5876925" y="4038600"/>
            <a:ext cx="1304762" cy="1209524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</xdr:pic>
      <xdr:pic>
        <xdr:nvPicPr>
          <xdr:cNvPr id="17" name="图片 16"/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3162300" y="7115175"/>
            <a:ext cx="6276191" cy="2847619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4037;&#20316;\&#25945;&#23398;\&#35745;&#31639;&#26426;&#24212;&#29992;&#35838;&#20214;\&#35745;&#31639;&#26426;&#24212;&#29992;&#35838;&#20214;\&#27169;&#25311;&#35797;&#21367;&#21442;&#32771;&#31572;&#26696;\&#31532;3&#31456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4037;&#20316;\&#25945;&#23398;\&#35745;&#31639;&#26426;&#24212;&#29992;&#35838;&#20214;\&#35745;&#31639;&#26426;&#24212;&#29992;&#35838;&#20214;\&#27169;&#25311;&#35797;&#21367;&#21442;&#32771;&#31572;&#26696;\&#27169;&#25311;&#35797;&#21367;11-&#21442;&#32771;&#31572;&#26696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4037;&#20316;\&#25945;&#23398;\&#35745;&#31639;&#26426;&#24212;&#29992;&#35838;&#20214;\&#35745;&#31639;&#26426;&#24212;&#29992;&#35838;&#20214;\&#27169;&#25311;&#35797;&#21367;&#21442;&#32771;&#31572;&#26696;\Set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Rawdata\&#31532;3&#31456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35838;&#31243;\&#36130;&#32463;&#31649;&#29702;&#35745;&#31639;&#26426;&#24212;&#29992;\200502\D&#20989;&#25968;&#32771;&#39064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35838;&#31243;\&#35745;&#31639;&#26426;&#24212;&#29992;\&#32771;&#39064;\2003-1\2002&#31179;&#35745;&#31639;&#26426;&#32771;&#35797;(C)&#31572;&#26696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0wang\Quantitative%20method\Simulation\Simulation%20example%201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lgl\yy2\&#32771;&#39064;\2002-01&#32771;&#39064;\Teaching\2001Fall\&#36741;&#20462;\&#35797;&#39064;&#31572;&#26696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F\Lesson\ComputerApplication\&#25945;&#23398;&#21442;&#32771;&#36164;&#26009;\&#22797;&#20064;&#36164;&#26009;\&#32508;&#21512;&#32451;&#20064;a_j&#21442;&#32771;&#35299;&#31572;\&#32508;&#21512;&#32451;&#20064;D&#21442;&#32771;&#35299;&#315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35745;&#31639;&#26426;&#24212;&#29992;\2007-2008&#23398;&#24180;\&#37325;&#20462;&#29677;&#32771;&#35797;&#39064;&#30446;\&#35745;&#31639;&#26426;&#24212;&#29992;&#31572;&#26696;2007-2008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2003_2004_2&#32771;&#35797;&#35797;&#39064;&#31532;2&#31295;\2003-2004&#31532;2&#23398;&#26399;&#36130;&#22823;&#35745;&#31639;&#26426;&#24212;&#29992;&#35797;&#39064;\2004-06&#36879;&#35270;&#34920;&#19982;D&#20989;&#25968;&#32771;&#39064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lgl\yy2\&#32771;&#39064;\2001-07&#32771;&#39064;\Exam1\Exam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35745;&#31639;&#26426;&#24212;&#29992;\01-02(1)\2001&#31179;&#35745;&#31639;&#26426;&#24212;&#29992;&#35838;&#31243;&#32771;&#35797;&#39064;A&#31572;&#26696;&#24102;&#35780;&#20998;&#32454;&#21017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35838;&#31243;\&#36130;&#32463;&#31649;&#29702;&#35745;&#31639;&#26426;&#24212;&#29992;\&#21382;&#24180;&#32771;&#35797;&#39064;&#30446;\200906\&#21407;E\lesson\&#35745;&#31639;&#26426;&#24212;&#29992;\&#21508;&#24180;&#32771;&#39064;\2008-2009-2\2008-2009-2&#35745;&#31639;&#26426;&#24212;&#29992;_&#31532;3&#39064;\&#21629;&#39064;&#20934;&#22791;\&#20363;4-08%20&#24037;&#21378;&#32435;&#31246;&#23395;&#33410;&#25351;&#25968;&#39044;&#27979;&#27169;&#22411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2018-2019-2\&#31532;3&#31456;D&#20989;&#25968;&#20986;&#39064;-201906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2018-2019-2\&#31532;7&#39064;-&#32771;&#35797;&#39064;&#21450;&#31572;&#26696;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2018-2019-2\&#36213;&#40857;&#24378;&#20132;&#35874;&#32654;&#33805;&#32769;&#24072;2018-2019-2&#12298;&#32463;&#27982;&#31649;&#29702;&#20013;&#30340;&#35745;&#31639;&#26426;&#24212;&#29992;&#12299;&#26399;&#26411;&#35797;&#39064;&#31532;8&#39064;&#31354;&#30333;&#35797;&#39064;-&#35797;&#39064;&#31572;&#26696;-&#35780;&#20998;&#26631;&#20934;\&#31532;8&#39064;&#31572;&#26696;\&#31532;1&#22330;&#31532;8&#39064;&#31572;&#2669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第1套"/>
      <sheetName val="第1套答案"/>
      <sheetName val="第2套"/>
      <sheetName val="第2套答案"/>
      <sheetName val="第3套答案"/>
    </sheetNames>
    <sheetDataSet>
      <sheetData sheetId="0">
        <row r="1">
          <cell r="A1" t="str">
            <v>项目</v>
          </cell>
          <cell r="B1" t="str">
            <v>产量</v>
          </cell>
          <cell r="C1" t="str">
            <v>月份</v>
          </cell>
        </row>
        <row r="2">
          <cell r="A2" t="str">
            <v>彩色电视机</v>
          </cell>
          <cell r="B2">
            <v>374</v>
          </cell>
          <cell r="C2">
            <v>36526</v>
          </cell>
        </row>
        <row r="3">
          <cell r="A3" t="str">
            <v>程控交换机</v>
          </cell>
          <cell r="B3">
            <v>351</v>
          </cell>
          <cell r="C3">
            <v>36526</v>
          </cell>
        </row>
        <row r="4">
          <cell r="A4" t="str">
            <v>家用洗衣机</v>
          </cell>
          <cell r="B4">
            <v>149</v>
          </cell>
          <cell r="C4">
            <v>36526</v>
          </cell>
        </row>
        <row r="5">
          <cell r="A5" t="str">
            <v>家用电冰箱</v>
          </cell>
          <cell r="B5">
            <v>88</v>
          </cell>
          <cell r="C5">
            <v>36526</v>
          </cell>
        </row>
        <row r="6">
          <cell r="A6" t="str">
            <v>微型计算机</v>
          </cell>
          <cell r="B6">
            <v>43</v>
          </cell>
          <cell r="C6">
            <v>36526</v>
          </cell>
        </row>
        <row r="7">
          <cell r="A7" t="str">
            <v>汽车</v>
          </cell>
          <cell r="B7">
            <v>14</v>
          </cell>
          <cell r="C7">
            <v>36526</v>
          </cell>
        </row>
        <row r="8">
          <cell r="A8" t="str">
            <v>彩色电视机</v>
          </cell>
          <cell r="B8">
            <v>283</v>
          </cell>
          <cell r="C8">
            <v>36557</v>
          </cell>
        </row>
        <row r="9">
          <cell r="A9" t="str">
            <v>程控交换机</v>
          </cell>
          <cell r="B9">
            <v>249</v>
          </cell>
          <cell r="C9">
            <v>36557</v>
          </cell>
        </row>
        <row r="10">
          <cell r="A10" t="str">
            <v>家用洗衣机</v>
          </cell>
          <cell r="B10">
            <v>114</v>
          </cell>
          <cell r="C10">
            <v>36557</v>
          </cell>
        </row>
        <row r="11">
          <cell r="A11" t="str">
            <v>家用电冰箱</v>
          </cell>
          <cell r="B11">
            <v>80</v>
          </cell>
          <cell r="C11">
            <v>36557</v>
          </cell>
        </row>
        <row r="12">
          <cell r="A12" t="str">
            <v>微型计算机</v>
          </cell>
          <cell r="B12">
            <v>37</v>
          </cell>
          <cell r="C12">
            <v>36557</v>
          </cell>
        </row>
        <row r="13">
          <cell r="A13" t="str">
            <v>汽车</v>
          </cell>
          <cell r="B13">
            <v>12</v>
          </cell>
          <cell r="C13">
            <v>36557</v>
          </cell>
        </row>
        <row r="14">
          <cell r="A14" t="str">
            <v>程控交换机</v>
          </cell>
          <cell r="B14">
            <v>423</v>
          </cell>
          <cell r="C14">
            <v>36586</v>
          </cell>
        </row>
        <row r="15">
          <cell r="A15" t="str">
            <v>彩色电视机</v>
          </cell>
          <cell r="B15">
            <v>365</v>
          </cell>
          <cell r="C15">
            <v>36586</v>
          </cell>
        </row>
        <row r="16">
          <cell r="A16" t="str">
            <v>家用洗衣机</v>
          </cell>
          <cell r="B16">
            <v>146</v>
          </cell>
          <cell r="C16">
            <v>36586</v>
          </cell>
        </row>
        <row r="17">
          <cell r="A17" t="str">
            <v>家用电冰箱</v>
          </cell>
          <cell r="B17">
            <v>129</v>
          </cell>
          <cell r="C17">
            <v>36586</v>
          </cell>
        </row>
        <row r="18">
          <cell r="A18" t="str">
            <v>微型计算机</v>
          </cell>
          <cell r="B18">
            <v>64</v>
          </cell>
          <cell r="C18">
            <v>36586</v>
          </cell>
        </row>
        <row r="19">
          <cell r="A19" t="str">
            <v>汽车</v>
          </cell>
          <cell r="B19">
            <v>21</v>
          </cell>
          <cell r="C19">
            <v>36586</v>
          </cell>
        </row>
        <row r="20">
          <cell r="A20" t="str">
            <v>程控交换机</v>
          </cell>
          <cell r="B20">
            <v>472</v>
          </cell>
          <cell r="C20">
            <v>36617</v>
          </cell>
        </row>
        <row r="21">
          <cell r="A21" t="str">
            <v>彩色电视机</v>
          </cell>
          <cell r="B21">
            <v>363</v>
          </cell>
          <cell r="C21">
            <v>36617</v>
          </cell>
        </row>
        <row r="22">
          <cell r="A22" t="str">
            <v>家用电冰箱</v>
          </cell>
          <cell r="B22">
            <v>139</v>
          </cell>
          <cell r="C22">
            <v>36617</v>
          </cell>
        </row>
        <row r="23">
          <cell r="A23" t="str">
            <v>家用洗衣机</v>
          </cell>
          <cell r="B23">
            <v>106</v>
          </cell>
          <cell r="C23">
            <v>36617</v>
          </cell>
        </row>
        <row r="24">
          <cell r="A24" t="str">
            <v>微型计算机</v>
          </cell>
          <cell r="B24">
            <v>68</v>
          </cell>
          <cell r="C24">
            <v>36617</v>
          </cell>
        </row>
        <row r="25">
          <cell r="A25" t="str">
            <v>汽车</v>
          </cell>
          <cell r="B25">
            <v>22</v>
          </cell>
          <cell r="C25">
            <v>36617</v>
          </cell>
        </row>
        <row r="26">
          <cell r="A26" t="str">
            <v>程控交换机</v>
          </cell>
          <cell r="B26">
            <v>441</v>
          </cell>
          <cell r="C26">
            <v>36647</v>
          </cell>
        </row>
        <row r="27">
          <cell r="A27" t="str">
            <v>彩色电视机</v>
          </cell>
          <cell r="B27">
            <v>297</v>
          </cell>
          <cell r="C27">
            <v>36647</v>
          </cell>
        </row>
        <row r="28">
          <cell r="A28" t="str">
            <v>家用电冰箱</v>
          </cell>
          <cell r="B28">
            <v>139</v>
          </cell>
          <cell r="C28">
            <v>36647</v>
          </cell>
        </row>
        <row r="29">
          <cell r="A29" t="str">
            <v>家用洗衣机</v>
          </cell>
          <cell r="B29">
            <v>82</v>
          </cell>
          <cell r="C29">
            <v>36647</v>
          </cell>
        </row>
        <row r="30">
          <cell r="A30" t="str">
            <v>微型计算机</v>
          </cell>
          <cell r="B30">
            <v>58</v>
          </cell>
          <cell r="C30">
            <v>36647</v>
          </cell>
        </row>
        <row r="31">
          <cell r="A31" t="str">
            <v>汽车</v>
          </cell>
          <cell r="B31">
            <v>20</v>
          </cell>
          <cell r="C31">
            <v>36647</v>
          </cell>
        </row>
        <row r="32">
          <cell r="A32" t="str">
            <v>程控交换机</v>
          </cell>
          <cell r="B32">
            <v>709</v>
          </cell>
          <cell r="C32">
            <v>36678</v>
          </cell>
        </row>
        <row r="33">
          <cell r="A33" t="str">
            <v>彩色电视机</v>
          </cell>
          <cell r="B33">
            <v>202</v>
          </cell>
          <cell r="C33">
            <v>36678</v>
          </cell>
        </row>
        <row r="34">
          <cell r="A34" t="str">
            <v>家用电冰箱</v>
          </cell>
          <cell r="B34">
            <v>158</v>
          </cell>
          <cell r="C34">
            <v>36678</v>
          </cell>
        </row>
        <row r="35">
          <cell r="A35" t="str">
            <v>家用洗衣机</v>
          </cell>
          <cell r="B35">
            <v>79</v>
          </cell>
          <cell r="C35">
            <v>36678</v>
          </cell>
        </row>
        <row r="36">
          <cell r="A36" t="str">
            <v>微型计算机</v>
          </cell>
          <cell r="B36">
            <v>51</v>
          </cell>
          <cell r="C36">
            <v>36678</v>
          </cell>
        </row>
        <row r="37">
          <cell r="A37" t="str">
            <v>汽车</v>
          </cell>
          <cell r="B37">
            <v>19</v>
          </cell>
          <cell r="C37">
            <v>36678</v>
          </cell>
        </row>
        <row r="38">
          <cell r="A38" t="str">
            <v>程控交换机</v>
          </cell>
          <cell r="B38">
            <v>728</v>
          </cell>
          <cell r="C38">
            <v>36892</v>
          </cell>
        </row>
        <row r="39">
          <cell r="A39" t="str">
            <v>彩色电视机</v>
          </cell>
          <cell r="B39">
            <v>341.6</v>
          </cell>
          <cell r="C39">
            <v>36892</v>
          </cell>
        </row>
        <row r="40">
          <cell r="A40" t="str">
            <v>家用洗衣机</v>
          </cell>
          <cell r="B40">
            <v>124.4</v>
          </cell>
          <cell r="C40">
            <v>36892</v>
          </cell>
        </row>
        <row r="41">
          <cell r="A41" t="str">
            <v>家用电冰箱</v>
          </cell>
          <cell r="B41">
            <v>98.4</v>
          </cell>
          <cell r="C41">
            <v>36892</v>
          </cell>
        </row>
        <row r="42">
          <cell r="A42" t="str">
            <v>微型计算机</v>
          </cell>
          <cell r="B42">
            <v>42.5</v>
          </cell>
          <cell r="C42">
            <v>36892</v>
          </cell>
        </row>
        <row r="43">
          <cell r="A43" t="str">
            <v>汽车</v>
          </cell>
          <cell r="B43">
            <v>18.7</v>
          </cell>
          <cell r="C43">
            <v>36892</v>
          </cell>
        </row>
        <row r="44">
          <cell r="A44" t="str">
            <v>程控交换机</v>
          </cell>
          <cell r="B44">
            <v>728</v>
          </cell>
          <cell r="C44">
            <v>36923</v>
          </cell>
        </row>
        <row r="45">
          <cell r="A45" t="str">
            <v>彩色电视机</v>
          </cell>
          <cell r="B45">
            <v>341.6</v>
          </cell>
          <cell r="C45">
            <v>36923</v>
          </cell>
        </row>
        <row r="46">
          <cell r="A46" t="str">
            <v>家用洗衣机</v>
          </cell>
          <cell r="B46">
            <v>124.4</v>
          </cell>
          <cell r="C46">
            <v>36923</v>
          </cell>
        </row>
        <row r="47">
          <cell r="A47" t="str">
            <v>家用电冰箱</v>
          </cell>
          <cell r="B47">
            <v>98.4</v>
          </cell>
          <cell r="C47">
            <v>36923</v>
          </cell>
        </row>
        <row r="48">
          <cell r="A48" t="str">
            <v>微型计算机</v>
          </cell>
          <cell r="B48">
            <v>42.5</v>
          </cell>
          <cell r="C48">
            <v>36923</v>
          </cell>
        </row>
        <row r="49">
          <cell r="A49" t="str">
            <v>汽车</v>
          </cell>
          <cell r="B49">
            <v>18.7</v>
          </cell>
          <cell r="C49">
            <v>36923</v>
          </cell>
        </row>
        <row r="50">
          <cell r="A50" t="str">
            <v>程控交换机</v>
          </cell>
          <cell r="B50">
            <v>571</v>
          </cell>
          <cell r="C50">
            <v>36951</v>
          </cell>
        </row>
        <row r="51">
          <cell r="A51" t="str">
            <v>彩色电视机</v>
          </cell>
          <cell r="B51">
            <v>317.89999999999998</v>
          </cell>
          <cell r="C51">
            <v>36951</v>
          </cell>
        </row>
        <row r="52">
          <cell r="A52" t="str">
            <v>家用电冰箱</v>
          </cell>
          <cell r="B52">
            <v>143</v>
          </cell>
          <cell r="C52">
            <v>36951</v>
          </cell>
        </row>
        <row r="53">
          <cell r="A53" t="str">
            <v>家用洗衣机</v>
          </cell>
          <cell r="B53">
            <v>110.5</v>
          </cell>
          <cell r="C53">
            <v>36951</v>
          </cell>
        </row>
        <row r="54">
          <cell r="A54" t="str">
            <v>微型计算机</v>
          </cell>
          <cell r="B54">
            <v>58.5</v>
          </cell>
          <cell r="C54">
            <v>36951</v>
          </cell>
        </row>
        <row r="55">
          <cell r="A55" t="str">
            <v>汽车</v>
          </cell>
          <cell r="B55">
            <v>26.6</v>
          </cell>
          <cell r="C55">
            <v>36951</v>
          </cell>
        </row>
        <row r="56">
          <cell r="A56" t="str">
            <v>程控交换机</v>
          </cell>
          <cell r="B56">
            <v>634.9</v>
          </cell>
          <cell r="C56">
            <v>36982</v>
          </cell>
        </row>
        <row r="57">
          <cell r="A57" t="str">
            <v>彩色电视机</v>
          </cell>
          <cell r="B57">
            <v>305.89999999999998</v>
          </cell>
          <cell r="C57">
            <v>36982</v>
          </cell>
        </row>
        <row r="58">
          <cell r="A58" t="str">
            <v>家用电冰箱</v>
          </cell>
          <cell r="B58">
            <v>135.19999999999999</v>
          </cell>
          <cell r="C58">
            <v>36982</v>
          </cell>
        </row>
        <row r="59">
          <cell r="A59" t="str">
            <v>家用洗衣机</v>
          </cell>
          <cell r="B59">
            <v>98.7</v>
          </cell>
          <cell r="C59">
            <v>36982</v>
          </cell>
        </row>
        <row r="60">
          <cell r="A60" t="str">
            <v>微型计算机</v>
          </cell>
          <cell r="B60">
            <v>63.2</v>
          </cell>
          <cell r="C60">
            <v>36982</v>
          </cell>
        </row>
        <row r="61">
          <cell r="A61" t="str">
            <v>汽车</v>
          </cell>
          <cell r="B61">
            <v>24.9</v>
          </cell>
          <cell r="C61">
            <v>36982</v>
          </cell>
        </row>
        <row r="62">
          <cell r="A62" t="str">
            <v>程控交换机</v>
          </cell>
          <cell r="B62">
            <v>808</v>
          </cell>
          <cell r="C62">
            <v>37012</v>
          </cell>
        </row>
        <row r="63">
          <cell r="A63" t="str">
            <v>彩色电视机</v>
          </cell>
          <cell r="B63">
            <v>294.5</v>
          </cell>
          <cell r="C63">
            <v>37012</v>
          </cell>
        </row>
        <row r="64">
          <cell r="A64" t="str">
            <v>家用电冰箱</v>
          </cell>
          <cell r="B64">
            <v>155.19999999999999</v>
          </cell>
          <cell r="C64">
            <v>37012</v>
          </cell>
        </row>
        <row r="65">
          <cell r="A65" t="str">
            <v>家用洗衣机</v>
          </cell>
          <cell r="B65">
            <v>78.2</v>
          </cell>
          <cell r="C65">
            <v>37012</v>
          </cell>
        </row>
        <row r="66">
          <cell r="A66" t="str">
            <v>微型计算机</v>
          </cell>
          <cell r="B66">
            <v>63.4</v>
          </cell>
          <cell r="C66">
            <v>37012</v>
          </cell>
        </row>
        <row r="67">
          <cell r="A67" t="str">
            <v>汽车</v>
          </cell>
          <cell r="B67">
            <v>20.8</v>
          </cell>
          <cell r="C67">
            <v>37012</v>
          </cell>
        </row>
        <row r="68">
          <cell r="A68" t="str">
            <v>程控交换机</v>
          </cell>
          <cell r="B68">
            <v>875.1</v>
          </cell>
          <cell r="C68">
            <v>37043</v>
          </cell>
        </row>
        <row r="69">
          <cell r="A69" t="str">
            <v>彩色电视机</v>
          </cell>
          <cell r="B69">
            <v>256.39999999999998</v>
          </cell>
          <cell r="C69">
            <v>37043</v>
          </cell>
        </row>
        <row r="70">
          <cell r="A70" t="str">
            <v>家用电冰箱</v>
          </cell>
          <cell r="B70">
            <v>168.7</v>
          </cell>
          <cell r="C70">
            <v>37043</v>
          </cell>
        </row>
        <row r="71">
          <cell r="A71" t="str">
            <v>家用洗衣机</v>
          </cell>
          <cell r="B71">
            <v>82.9</v>
          </cell>
          <cell r="C71">
            <v>37043</v>
          </cell>
        </row>
        <row r="72">
          <cell r="A72" t="str">
            <v>微型计算机</v>
          </cell>
          <cell r="B72">
            <v>64.599999999999994</v>
          </cell>
          <cell r="C72">
            <v>37043</v>
          </cell>
        </row>
        <row r="73">
          <cell r="A73" t="str">
            <v>汽车</v>
          </cell>
          <cell r="B73">
            <v>20.8</v>
          </cell>
          <cell r="C73">
            <v>37043</v>
          </cell>
        </row>
      </sheetData>
      <sheetData sheetId="1" refreshError="1"/>
      <sheetData sheetId="2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分数分布"/>
      <sheetName val="第1题"/>
      <sheetName val="第1题解答"/>
      <sheetName val="第2题"/>
      <sheetName val="第2题解答"/>
      <sheetName val="第3题"/>
      <sheetName val="第3题解答"/>
      <sheetName val="第4题"/>
      <sheetName val="第4题解答"/>
      <sheetName val="第5题"/>
      <sheetName val="第5题解答"/>
      <sheetName val="第6题"/>
      <sheetName val="第6题解答"/>
      <sheetName val="第7题"/>
      <sheetName val="第7题解答"/>
      <sheetName val="第8题"/>
      <sheetName val="第8题解答"/>
      <sheetName val="第9题"/>
      <sheetName val="第9题解答"/>
    </sheetNames>
    <sheetDataSet>
      <sheetData sheetId="0"/>
      <sheetData sheetId="1"/>
      <sheetData sheetId="2"/>
      <sheetData sheetId="3"/>
      <sheetData sheetId="4">
        <row r="1">
          <cell r="A1" t="str">
            <v>工业类型</v>
          </cell>
          <cell r="B1" t="str">
            <v>企业规模</v>
          </cell>
          <cell r="C1" t="str">
            <v>企业类型</v>
          </cell>
          <cell r="D1" t="str">
            <v>产值</v>
          </cell>
        </row>
        <row r="2">
          <cell r="A2" t="str">
            <v>轻工业</v>
          </cell>
          <cell r="B2" t="str">
            <v>小型</v>
          </cell>
          <cell r="C2" t="str">
            <v>国有及国有控股企业</v>
          </cell>
          <cell r="D2">
            <v>15008.16</v>
          </cell>
        </row>
        <row r="3">
          <cell r="A3" t="str">
            <v>轻工业</v>
          </cell>
          <cell r="B3" t="str">
            <v>小型</v>
          </cell>
          <cell r="C3" t="str">
            <v>国有及国有控股企业</v>
          </cell>
          <cell r="D3">
            <v>55788.45</v>
          </cell>
        </row>
        <row r="4">
          <cell r="A4" t="str">
            <v>重工业</v>
          </cell>
          <cell r="B4" t="str">
            <v>中型</v>
          </cell>
          <cell r="C4" t="str">
            <v>股份有限公司</v>
          </cell>
          <cell r="D4">
            <v>19514.89</v>
          </cell>
        </row>
        <row r="5">
          <cell r="A5" t="str">
            <v>重工业</v>
          </cell>
          <cell r="B5" t="str">
            <v>大型</v>
          </cell>
          <cell r="C5" t="str">
            <v>股份有限公司</v>
          </cell>
          <cell r="D5">
            <v>76910.34</v>
          </cell>
        </row>
        <row r="6">
          <cell r="A6" t="str">
            <v>轻工业</v>
          </cell>
          <cell r="B6" t="str">
            <v>大型</v>
          </cell>
          <cell r="C6" t="str">
            <v>外商投资企业</v>
          </cell>
          <cell r="D6">
            <v>57588.57</v>
          </cell>
        </row>
        <row r="7">
          <cell r="A7" t="str">
            <v>轻工业</v>
          </cell>
          <cell r="B7" t="str">
            <v>小型</v>
          </cell>
          <cell r="C7" t="str">
            <v>港澳台商投资企业</v>
          </cell>
          <cell r="D7">
            <v>98459.91</v>
          </cell>
        </row>
        <row r="8">
          <cell r="A8" t="str">
            <v>轻工业</v>
          </cell>
          <cell r="B8" t="str">
            <v>小型</v>
          </cell>
          <cell r="C8" t="str">
            <v>国有及国有控股企业</v>
          </cell>
          <cell r="D8">
            <v>95950.77</v>
          </cell>
        </row>
        <row r="9">
          <cell r="A9" t="str">
            <v>轻工业</v>
          </cell>
          <cell r="B9" t="str">
            <v>小型</v>
          </cell>
          <cell r="C9" t="str">
            <v>港澳台商投资企业</v>
          </cell>
          <cell r="D9">
            <v>53610.12</v>
          </cell>
        </row>
        <row r="10">
          <cell r="A10" t="str">
            <v>重工业</v>
          </cell>
          <cell r="B10" t="str">
            <v>小型</v>
          </cell>
          <cell r="C10" t="str">
            <v>港澳台商投资企业</v>
          </cell>
          <cell r="D10">
            <v>26083.279999999999</v>
          </cell>
        </row>
        <row r="11">
          <cell r="A11" t="str">
            <v>轻工业</v>
          </cell>
          <cell r="B11" t="str">
            <v>中型</v>
          </cell>
          <cell r="C11" t="str">
            <v>外商投资企业</v>
          </cell>
          <cell r="D11">
            <v>85073.17</v>
          </cell>
        </row>
        <row r="12">
          <cell r="A12" t="str">
            <v>重工业</v>
          </cell>
          <cell r="B12" t="str">
            <v>中型</v>
          </cell>
          <cell r="C12" t="str">
            <v>股份有限公司</v>
          </cell>
          <cell r="D12">
            <v>24690.799999999999</v>
          </cell>
        </row>
        <row r="13">
          <cell r="A13" t="str">
            <v>重工业</v>
          </cell>
          <cell r="B13" t="str">
            <v>小型</v>
          </cell>
          <cell r="C13" t="str">
            <v>港澳台商投资企业</v>
          </cell>
          <cell r="D13">
            <v>9522.1</v>
          </cell>
        </row>
        <row r="14">
          <cell r="A14" t="str">
            <v>轻工业</v>
          </cell>
          <cell r="B14" t="str">
            <v>小型</v>
          </cell>
          <cell r="C14" t="str">
            <v>国有及国有控股企业</v>
          </cell>
          <cell r="D14">
            <v>37684.04</v>
          </cell>
        </row>
        <row r="15">
          <cell r="A15" t="str">
            <v>轻工业</v>
          </cell>
          <cell r="B15" t="str">
            <v>大型</v>
          </cell>
          <cell r="C15" t="str">
            <v>国有及国有控股企业</v>
          </cell>
          <cell r="D15">
            <v>16045.63</v>
          </cell>
        </row>
        <row r="16">
          <cell r="A16" t="str">
            <v>轻工业</v>
          </cell>
          <cell r="B16" t="str">
            <v>中型</v>
          </cell>
          <cell r="C16" t="str">
            <v>股份有限公司</v>
          </cell>
          <cell r="D16">
            <v>5227.33</v>
          </cell>
        </row>
        <row r="17">
          <cell r="A17" t="str">
            <v>轻工业</v>
          </cell>
          <cell r="B17" t="str">
            <v>大型</v>
          </cell>
          <cell r="C17" t="str">
            <v>国有及国有控股企业</v>
          </cell>
          <cell r="D17">
            <v>58695.08</v>
          </cell>
        </row>
        <row r="18">
          <cell r="A18" t="str">
            <v>重工业</v>
          </cell>
          <cell r="B18" t="str">
            <v>中型</v>
          </cell>
          <cell r="C18" t="str">
            <v>集体企业</v>
          </cell>
          <cell r="D18">
            <v>65561.63</v>
          </cell>
        </row>
        <row r="19">
          <cell r="A19" t="str">
            <v>重工业</v>
          </cell>
          <cell r="B19" t="str">
            <v>小型</v>
          </cell>
          <cell r="C19" t="str">
            <v>国有及国有控股企业</v>
          </cell>
          <cell r="D19">
            <v>1873.21</v>
          </cell>
        </row>
        <row r="20">
          <cell r="A20" t="str">
            <v>重工业</v>
          </cell>
          <cell r="B20" t="str">
            <v>中型</v>
          </cell>
          <cell r="C20" t="str">
            <v>集体企业</v>
          </cell>
          <cell r="D20">
            <v>17940.259999999998</v>
          </cell>
        </row>
        <row r="21">
          <cell r="A21" t="str">
            <v>轻工业</v>
          </cell>
          <cell r="B21" t="str">
            <v>大型</v>
          </cell>
          <cell r="C21" t="str">
            <v>集体企业</v>
          </cell>
          <cell r="D21">
            <v>12431.5</v>
          </cell>
        </row>
        <row r="22">
          <cell r="A22" t="str">
            <v>重工业</v>
          </cell>
          <cell r="B22" t="str">
            <v>小型</v>
          </cell>
          <cell r="C22" t="str">
            <v>外商投资企业</v>
          </cell>
          <cell r="D22">
            <v>10913.71</v>
          </cell>
        </row>
        <row r="23">
          <cell r="A23" t="str">
            <v>轻工业</v>
          </cell>
          <cell r="B23" t="str">
            <v>大型</v>
          </cell>
          <cell r="C23" t="str">
            <v>国有及国有控股企业</v>
          </cell>
          <cell r="D23">
            <v>4630.91</v>
          </cell>
        </row>
        <row r="24">
          <cell r="A24" t="str">
            <v>轻工业</v>
          </cell>
          <cell r="B24" t="str">
            <v>小型</v>
          </cell>
          <cell r="C24" t="str">
            <v>港澳台商投资企业</v>
          </cell>
          <cell r="D24">
            <v>1296.26</v>
          </cell>
        </row>
        <row r="25">
          <cell r="A25" t="str">
            <v>轻工业</v>
          </cell>
          <cell r="B25" t="str">
            <v>大型</v>
          </cell>
          <cell r="C25" t="str">
            <v>国有及国有控股企业</v>
          </cell>
          <cell r="D25">
            <v>51686.97</v>
          </cell>
        </row>
        <row r="26">
          <cell r="A26" t="str">
            <v>轻工业</v>
          </cell>
          <cell r="B26" t="str">
            <v>小型</v>
          </cell>
          <cell r="C26" t="str">
            <v>港澳台商投资企业</v>
          </cell>
          <cell r="D26">
            <v>38875.599999999999</v>
          </cell>
        </row>
        <row r="27">
          <cell r="A27" t="str">
            <v>重工业</v>
          </cell>
          <cell r="B27" t="str">
            <v>大型</v>
          </cell>
          <cell r="C27" t="str">
            <v>国有及国有控股企业</v>
          </cell>
          <cell r="D27">
            <v>18409.88</v>
          </cell>
        </row>
        <row r="28">
          <cell r="A28" t="str">
            <v>重工业</v>
          </cell>
          <cell r="B28" t="str">
            <v>大型</v>
          </cell>
          <cell r="C28" t="str">
            <v>集体企业</v>
          </cell>
          <cell r="D28">
            <v>24532.92</v>
          </cell>
        </row>
        <row r="29">
          <cell r="A29" t="str">
            <v>重工业</v>
          </cell>
          <cell r="B29" t="str">
            <v>小型</v>
          </cell>
          <cell r="C29" t="str">
            <v>集体企业</v>
          </cell>
          <cell r="D29">
            <v>58960.84</v>
          </cell>
        </row>
        <row r="30">
          <cell r="A30" t="str">
            <v>轻工业</v>
          </cell>
          <cell r="B30" t="str">
            <v>中型</v>
          </cell>
          <cell r="C30" t="str">
            <v>股份有限公司</v>
          </cell>
          <cell r="D30">
            <v>75499.08</v>
          </cell>
        </row>
        <row r="31">
          <cell r="A31" t="str">
            <v>重工业</v>
          </cell>
          <cell r="B31" t="str">
            <v>中型</v>
          </cell>
          <cell r="C31" t="str">
            <v>集体企业</v>
          </cell>
          <cell r="D31">
            <v>97593.18</v>
          </cell>
        </row>
        <row r="32">
          <cell r="A32" t="str">
            <v>轻工业</v>
          </cell>
          <cell r="B32" t="str">
            <v>小型</v>
          </cell>
          <cell r="C32" t="str">
            <v>国有及国有控股企业</v>
          </cell>
          <cell r="D32">
            <v>83750.720000000001</v>
          </cell>
        </row>
        <row r="33">
          <cell r="A33" t="str">
            <v>轻工业</v>
          </cell>
          <cell r="B33" t="str">
            <v>中型</v>
          </cell>
          <cell r="C33" t="str">
            <v>股份有限公司</v>
          </cell>
          <cell r="D33">
            <v>36999.15</v>
          </cell>
        </row>
        <row r="34">
          <cell r="A34" t="str">
            <v>重工业</v>
          </cell>
          <cell r="B34" t="str">
            <v>中型</v>
          </cell>
          <cell r="C34" t="str">
            <v>外商投资企业</v>
          </cell>
          <cell r="D34">
            <v>89761.17</v>
          </cell>
        </row>
        <row r="35">
          <cell r="A35" t="str">
            <v>轻工业</v>
          </cell>
          <cell r="B35" t="str">
            <v>中型</v>
          </cell>
          <cell r="C35" t="str">
            <v>股份有限公司</v>
          </cell>
          <cell r="D35">
            <v>65555.11</v>
          </cell>
        </row>
        <row r="36">
          <cell r="A36" t="str">
            <v>重工业</v>
          </cell>
          <cell r="B36" t="str">
            <v>中型</v>
          </cell>
          <cell r="C36" t="str">
            <v>国有及国有控股企业</v>
          </cell>
          <cell r="D36">
            <v>37862.28</v>
          </cell>
        </row>
        <row r="37">
          <cell r="A37" t="str">
            <v>重工业</v>
          </cell>
          <cell r="B37" t="str">
            <v>小型</v>
          </cell>
          <cell r="C37" t="str">
            <v>股份有限公司</v>
          </cell>
          <cell r="D37">
            <v>66551.91</v>
          </cell>
        </row>
        <row r="38">
          <cell r="A38" t="str">
            <v>重工业</v>
          </cell>
          <cell r="B38" t="str">
            <v>大型</v>
          </cell>
          <cell r="C38" t="str">
            <v>股份有限公司</v>
          </cell>
          <cell r="D38">
            <v>27469.67</v>
          </cell>
        </row>
        <row r="39">
          <cell r="A39" t="str">
            <v>轻工业</v>
          </cell>
          <cell r="B39" t="str">
            <v>中型</v>
          </cell>
          <cell r="C39" t="str">
            <v>国有及国有控股企业</v>
          </cell>
          <cell r="D39">
            <v>804.44</v>
          </cell>
        </row>
        <row r="40">
          <cell r="A40" t="str">
            <v>轻工业</v>
          </cell>
          <cell r="B40" t="str">
            <v>大型</v>
          </cell>
          <cell r="C40" t="str">
            <v>国有及国有控股企业</v>
          </cell>
          <cell r="D40">
            <v>21530.240000000002</v>
          </cell>
        </row>
        <row r="41">
          <cell r="A41" t="str">
            <v>重工业</v>
          </cell>
          <cell r="B41" t="str">
            <v>中型</v>
          </cell>
          <cell r="C41" t="str">
            <v>国有及国有控股企业</v>
          </cell>
          <cell r="D41">
            <v>69650.320000000007</v>
          </cell>
        </row>
        <row r="42">
          <cell r="A42" t="str">
            <v>重工业</v>
          </cell>
          <cell r="B42" t="str">
            <v>大型</v>
          </cell>
          <cell r="C42" t="str">
            <v>国有及国有控股企业</v>
          </cell>
          <cell r="D42">
            <v>56947.37</v>
          </cell>
        </row>
        <row r="43">
          <cell r="A43" t="str">
            <v>重工业</v>
          </cell>
          <cell r="B43" t="str">
            <v>中型</v>
          </cell>
          <cell r="C43" t="str">
            <v>国有及国有控股企业</v>
          </cell>
          <cell r="D43">
            <v>1213.6300000000001</v>
          </cell>
        </row>
        <row r="44">
          <cell r="A44" t="str">
            <v>轻工业</v>
          </cell>
          <cell r="B44" t="str">
            <v>大型</v>
          </cell>
          <cell r="C44" t="str">
            <v>股份有限公司</v>
          </cell>
          <cell r="D44">
            <v>40162.51</v>
          </cell>
        </row>
        <row r="45">
          <cell r="A45" t="str">
            <v>轻工业</v>
          </cell>
          <cell r="B45" t="str">
            <v>小型</v>
          </cell>
          <cell r="C45" t="str">
            <v>国有及国有控股企业</v>
          </cell>
          <cell r="D45">
            <v>57128.959999999999</v>
          </cell>
        </row>
        <row r="46">
          <cell r="A46" t="str">
            <v>重工业</v>
          </cell>
          <cell r="B46" t="str">
            <v>中型</v>
          </cell>
          <cell r="C46" t="str">
            <v>集体企业</v>
          </cell>
          <cell r="D46">
            <v>84697.89</v>
          </cell>
        </row>
        <row r="47">
          <cell r="A47" t="str">
            <v>重工业</v>
          </cell>
          <cell r="B47" t="str">
            <v>小型</v>
          </cell>
          <cell r="C47" t="str">
            <v>港澳台商投资企业</v>
          </cell>
          <cell r="D47">
            <v>39062.11</v>
          </cell>
        </row>
        <row r="48">
          <cell r="A48" t="str">
            <v>重工业</v>
          </cell>
          <cell r="B48" t="str">
            <v>中型</v>
          </cell>
          <cell r="C48" t="str">
            <v>港澳台商投资企业</v>
          </cell>
          <cell r="D48">
            <v>50101.85</v>
          </cell>
        </row>
        <row r="49">
          <cell r="A49" t="str">
            <v>重工业</v>
          </cell>
          <cell r="B49" t="str">
            <v>大型</v>
          </cell>
          <cell r="C49" t="str">
            <v>股份有限公司</v>
          </cell>
          <cell r="D49">
            <v>71417.38</v>
          </cell>
        </row>
        <row r="50">
          <cell r="A50" t="str">
            <v>重工业</v>
          </cell>
          <cell r="B50" t="str">
            <v>中型</v>
          </cell>
          <cell r="C50" t="str">
            <v>股份有限公司</v>
          </cell>
          <cell r="D50">
            <v>11228.25</v>
          </cell>
        </row>
        <row r="51">
          <cell r="A51" t="str">
            <v>轻工业</v>
          </cell>
          <cell r="B51" t="str">
            <v>大型</v>
          </cell>
          <cell r="C51" t="str">
            <v>外商投资企业</v>
          </cell>
          <cell r="D51">
            <v>93794.1</v>
          </cell>
        </row>
        <row r="52">
          <cell r="A52" t="str">
            <v>轻工业</v>
          </cell>
          <cell r="B52" t="str">
            <v>大型</v>
          </cell>
          <cell r="C52" t="str">
            <v>外商投资企业</v>
          </cell>
          <cell r="D52">
            <v>72956.81</v>
          </cell>
        </row>
        <row r="53">
          <cell r="A53" t="str">
            <v>轻工业</v>
          </cell>
          <cell r="B53" t="str">
            <v>小型</v>
          </cell>
          <cell r="C53" t="str">
            <v>国有及国有控股企业</v>
          </cell>
          <cell r="D53">
            <v>29969.62</v>
          </cell>
        </row>
        <row r="54">
          <cell r="A54" t="str">
            <v>轻工业</v>
          </cell>
          <cell r="B54" t="str">
            <v>大型</v>
          </cell>
          <cell r="C54" t="str">
            <v>股份有限公司</v>
          </cell>
          <cell r="D54">
            <v>52723.33</v>
          </cell>
        </row>
        <row r="55">
          <cell r="A55" t="str">
            <v>重工业</v>
          </cell>
          <cell r="B55" t="str">
            <v>大型</v>
          </cell>
          <cell r="C55" t="str">
            <v>股份有限公司</v>
          </cell>
          <cell r="D55">
            <v>17003.34</v>
          </cell>
        </row>
        <row r="56">
          <cell r="A56" t="str">
            <v>轻工业</v>
          </cell>
          <cell r="B56" t="str">
            <v>大型</v>
          </cell>
          <cell r="C56" t="str">
            <v>外商投资企业</v>
          </cell>
          <cell r="D56">
            <v>10906.14</v>
          </cell>
        </row>
        <row r="57">
          <cell r="A57" t="str">
            <v>轻工业</v>
          </cell>
          <cell r="B57" t="str">
            <v>小型</v>
          </cell>
          <cell r="C57" t="str">
            <v>国有及国有控股企业</v>
          </cell>
          <cell r="D57">
            <v>30315.42</v>
          </cell>
        </row>
        <row r="58">
          <cell r="A58" t="str">
            <v>重工业</v>
          </cell>
          <cell r="B58" t="str">
            <v>小型</v>
          </cell>
          <cell r="C58" t="str">
            <v>外商投资企业</v>
          </cell>
          <cell r="D58">
            <v>48900.3</v>
          </cell>
        </row>
        <row r="59">
          <cell r="A59" t="str">
            <v>轻工业</v>
          </cell>
          <cell r="B59" t="str">
            <v>中型</v>
          </cell>
          <cell r="C59" t="str">
            <v>港澳台商投资企业</v>
          </cell>
          <cell r="D59">
            <v>70978.679999999993</v>
          </cell>
        </row>
        <row r="60">
          <cell r="A60" t="str">
            <v>重工业</v>
          </cell>
          <cell r="B60" t="str">
            <v>小型</v>
          </cell>
          <cell r="C60" t="str">
            <v>集体企业</v>
          </cell>
          <cell r="D60">
            <v>2725.23</v>
          </cell>
        </row>
        <row r="61">
          <cell r="A61" t="str">
            <v>轻工业</v>
          </cell>
          <cell r="B61" t="str">
            <v>小型</v>
          </cell>
          <cell r="C61" t="str">
            <v>股份有限公司</v>
          </cell>
          <cell r="D61">
            <v>85627.46</v>
          </cell>
        </row>
        <row r="62">
          <cell r="A62" t="str">
            <v>轻工业</v>
          </cell>
          <cell r="B62" t="str">
            <v>小型</v>
          </cell>
          <cell r="C62" t="str">
            <v>国有及国有控股企业</v>
          </cell>
          <cell r="D62">
            <v>68407.12</v>
          </cell>
        </row>
        <row r="63">
          <cell r="A63" t="str">
            <v>轻工业</v>
          </cell>
          <cell r="B63" t="str">
            <v>中型</v>
          </cell>
          <cell r="C63" t="str">
            <v>股份有限公司</v>
          </cell>
          <cell r="D63">
            <v>47484.26</v>
          </cell>
        </row>
        <row r="64">
          <cell r="A64" t="str">
            <v>重工业</v>
          </cell>
          <cell r="B64" t="str">
            <v>大型</v>
          </cell>
          <cell r="C64" t="str">
            <v>股份有限公司</v>
          </cell>
          <cell r="D64">
            <v>64035.98</v>
          </cell>
        </row>
        <row r="65">
          <cell r="A65" t="str">
            <v>重工业</v>
          </cell>
          <cell r="B65" t="str">
            <v>小型</v>
          </cell>
          <cell r="C65" t="str">
            <v>外商投资企业</v>
          </cell>
          <cell r="D65">
            <v>18456.32</v>
          </cell>
        </row>
        <row r="66">
          <cell r="A66" t="str">
            <v>轻工业</v>
          </cell>
          <cell r="B66" t="str">
            <v>大型</v>
          </cell>
          <cell r="C66" t="str">
            <v>国有及国有控股企业</v>
          </cell>
          <cell r="D66">
            <v>80635.100000000006</v>
          </cell>
        </row>
        <row r="67">
          <cell r="A67" t="str">
            <v>重工业</v>
          </cell>
          <cell r="B67" t="str">
            <v>大型</v>
          </cell>
          <cell r="C67" t="str">
            <v>国有及国有控股企业</v>
          </cell>
          <cell r="D67">
            <v>38460.33</v>
          </cell>
        </row>
        <row r="68">
          <cell r="A68" t="str">
            <v>重工业</v>
          </cell>
          <cell r="B68" t="str">
            <v>中型</v>
          </cell>
          <cell r="C68" t="str">
            <v>港澳台商投资企业</v>
          </cell>
          <cell r="D68">
            <v>40062.35</v>
          </cell>
        </row>
        <row r="69">
          <cell r="A69" t="str">
            <v>重工业</v>
          </cell>
          <cell r="B69" t="str">
            <v>小型</v>
          </cell>
          <cell r="C69" t="str">
            <v>集体企业</v>
          </cell>
          <cell r="D69">
            <v>73520.009999999995</v>
          </cell>
        </row>
        <row r="70">
          <cell r="A70" t="str">
            <v>轻工业</v>
          </cell>
          <cell r="B70" t="str">
            <v>小型</v>
          </cell>
          <cell r="C70" t="str">
            <v>集体企业</v>
          </cell>
          <cell r="D70">
            <v>61172.88</v>
          </cell>
        </row>
        <row r="71">
          <cell r="A71" t="str">
            <v>轻工业</v>
          </cell>
          <cell r="B71" t="str">
            <v>大型</v>
          </cell>
          <cell r="C71" t="str">
            <v>股份有限公司</v>
          </cell>
          <cell r="D71">
            <v>402.06</v>
          </cell>
        </row>
        <row r="72">
          <cell r="A72" t="str">
            <v>重工业</v>
          </cell>
          <cell r="B72" t="str">
            <v>大型</v>
          </cell>
          <cell r="C72" t="str">
            <v>国有及国有控股企业</v>
          </cell>
          <cell r="D72">
            <v>61037.07</v>
          </cell>
        </row>
        <row r="73">
          <cell r="A73" t="str">
            <v>轻工业</v>
          </cell>
          <cell r="B73" t="str">
            <v>中型</v>
          </cell>
          <cell r="C73" t="str">
            <v>国有及国有控股企业</v>
          </cell>
          <cell r="D73">
            <v>66200.12</v>
          </cell>
        </row>
        <row r="74">
          <cell r="A74" t="str">
            <v>重工业</v>
          </cell>
          <cell r="B74" t="str">
            <v>中型</v>
          </cell>
          <cell r="C74" t="str">
            <v>外商投资企业</v>
          </cell>
          <cell r="D74">
            <v>72511.45</v>
          </cell>
        </row>
        <row r="75">
          <cell r="A75" t="str">
            <v>重工业</v>
          </cell>
          <cell r="B75" t="str">
            <v>大型</v>
          </cell>
          <cell r="C75" t="str">
            <v>集体企业</v>
          </cell>
          <cell r="D75">
            <v>56101.94</v>
          </cell>
        </row>
        <row r="76">
          <cell r="A76" t="str">
            <v>轻工业</v>
          </cell>
          <cell r="B76" t="str">
            <v>大型</v>
          </cell>
          <cell r="C76" t="str">
            <v>外商投资企业</v>
          </cell>
          <cell r="D76">
            <v>98329.3</v>
          </cell>
        </row>
        <row r="77">
          <cell r="A77" t="str">
            <v>轻工业</v>
          </cell>
          <cell r="B77" t="str">
            <v>中型</v>
          </cell>
          <cell r="C77" t="str">
            <v>外商投资企业</v>
          </cell>
          <cell r="D77">
            <v>13162.02</v>
          </cell>
        </row>
        <row r="78">
          <cell r="A78" t="str">
            <v>轻工业</v>
          </cell>
          <cell r="B78" t="str">
            <v>中型</v>
          </cell>
          <cell r="C78" t="str">
            <v>集体企业</v>
          </cell>
          <cell r="D78">
            <v>85317.53</v>
          </cell>
        </row>
        <row r="79">
          <cell r="A79" t="str">
            <v>轻工业</v>
          </cell>
          <cell r="B79" t="str">
            <v>中型</v>
          </cell>
          <cell r="C79" t="str">
            <v>国有及国有控股企业</v>
          </cell>
          <cell r="D79">
            <v>24638.69</v>
          </cell>
        </row>
        <row r="80">
          <cell r="A80" t="str">
            <v>重工业</v>
          </cell>
          <cell r="B80" t="str">
            <v>大型</v>
          </cell>
          <cell r="C80" t="str">
            <v>国有及国有控股企业</v>
          </cell>
          <cell r="D80">
            <v>97692.67</v>
          </cell>
        </row>
        <row r="81">
          <cell r="A81" t="str">
            <v>重工业</v>
          </cell>
          <cell r="B81" t="str">
            <v>大型</v>
          </cell>
          <cell r="C81" t="str">
            <v>集体企业</v>
          </cell>
          <cell r="D81">
            <v>60876.03</v>
          </cell>
        </row>
        <row r="82">
          <cell r="A82" t="str">
            <v>重工业</v>
          </cell>
          <cell r="B82" t="str">
            <v>大型</v>
          </cell>
          <cell r="C82" t="str">
            <v>港澳台商投资企业</v>
          </cell>
          <cell r="D82">
            <v>84593.94</v>
          </cell>
        </row>
        <row r="83">
          <cell r="A83" t="str">
            <v>重工业</v>
          </cell>
          <cell r="B83" t="str">
            <v>小型</v>
          </cell>
          <cell r="C83" t="str">
            <v>集体企业</v>
          </cell>
          <cell r="D83">
            <v>18171.41</v>
          </cell>
        </row>
        <row r="84">
          <cell r="A84" t="str">
            <v>轻工业</v>
          </cell>
          <cell r="B84" t="str">
            <v>小型</v>
          </cell>
          <cell r="C84" t="str">
            <v>外商投资企业</v>
          </cell>
          <cell r="D84">
            <v>82533.440000000002</v>
          </cell>
        </row>
        <row r="85">
          <cell r="A85" t="str">
            <v>重工业</v>
          </cell>
          <cell r="B85" t="str">
            <v>大型</v>
          </cell>
          <cell r="C85" t="str">
            <v>国有及国有控股企业</v>
          </cell>
          <cell r="D85">
            <v>82070.52</v>
          </cell>
        </row>
        <row r="86">
          <cell r="A86" t="str">
            <v>轻工业</v>
          </cell>
          <cell r="B86" t="str">
            <v>中型</v>
          </cell>
          <cell r="C86" t="str">
            <v>集体企业</v>
          </cell>
          <cell r="D86">
            <v>35690.800000000003</v>
          </cell>
        </row>
        <row r="87">
          <cell r="A87" t="str">
            <v>重工业</v>
          </cell>
          <cell r="B87" t="str">
            <v>小型</v>
          </cell>
          <cell r="C87" t="str">
            <v>股份有限公司</v>
          </cell>
          <cell r="D87">
            <v>40459.35</v>
          </cell>
        </row>
        <row r="88">
          <cell r="A88" t="str">
            <v>轻工业</v>
          </cell>
          <cell r="B88" t="str">
            <v>小型</v>
          </cell>
          <cell r="C88" t="str">
            <v>股份有限公司</v>
          </cell>
          <cell r="D88">
            <v>72430.03</v>
          </cell>
        </row>
        <row r="89">
          <cell r="A89" t="str">
            <v>重工业</v>
          </cell>
          <cell r="B89" t="str">
            <v>中型</v>
          </cell>
          <cell r="C89" t="str">
            <v>港澳台商投资企业</v>
          </cell>
          <cell r="D89">
            <v>56427.75</v>
          </cell>
        </row>
        <row r="90">
          <cell r="A90" t="str">
            <v>轻工业</v>
          </cell>
          <cell r="B90" t="str">
            <v>中型</v>
          </cell>
          <cell r="C90" t="str">
            <v>港澳台商投资企业</v>
          </cell>
          <cell r="D90">
            <v>98044.94</v>
          </cell>
        </row>
        <row r="91">
          <cell r="A91" t="str">
            <v>轻工业</v>
          </cell>
          <cell r="B91" t="str">
            <v>中型</v>
          </cell>
          <cell r="C91" t="str">
            <v>外商投资企业</v>
          </cell>
          <cell r="D91">
            <v>20445.72</v>
          </cell>
        </row>
        <row r="92">
          <cell r="A92" t="str">
            <v>轻工业</v>
          </cell>
          <cell r="B92" t="str">
            <v>中型</v>
          </cell>
          <cell r="C92" t="str">
            <v>国有及国有控股企业</v>
          </cell>
          <cell r="D92">
            <v>18543.330000000002</v>
          </cell>
        </row>
        <row r="93">
          <cell r="A93" t="str">
            <v>轻工业</v>
          </cell>
          <cell r="B93" t="str">
            <v>中型</v>
          </cell>
          <cell r="C93" t="str">
            <v>外商投资企业</v>
          </cell>
          <cell r="D93">
            <v>35180.050000000003</v>
          </cell>
        </row>
        <row r="94">
          <cell r="A94" t="str">
            <v>重工业</v>
          </cell>
          <cell r="B94" t="str">
            <v>中型</v>
          </cell>
          <cell r="C94" t="str">
            <v>国有及国有控股企业</v>
          </cell>
          <cell r="D94">
            <v>24441.21</v>
          </cell>
        </row>
        <row r="95">
          <cell r="A95" t="str">
            <v>轻工业</v>
          </cell>
          <cell r="B95" t="str">
            <v>小型</v>
          </cell>
          <cell r="C95" t="str">
            <v>外商投资企业</v>
          </cell>
          <cell r="D95">
            <v>58244.639999999999</v>
          </cell>
        </row>
        <row r="96">
          <cell r="A96" t="str">
            <v>重工业</v>
          </cell>
          <cell r="B96" t="str">
            <v>小型</v>
          </cell>
          <cell r="C96" t="str">
            <v>港澳台商投资企业</v>
          </cell>
          <cell r="D96">
            <v>41759.379999999997</v>
          </cell>
        </row>
        <row r="97">
          <cell r="A97" t="str">
            <v>轻工业</v>
          </cell>
          <cell r="B97" t="str">
            <v>小型</v>
          </cell>
          <cell r="C97" t="str">
            <v>国有及国有控股企业</v>
          </cell>
          <cell r="D97">
            <v>40023</v>
          </cell>
        </row>
        <row r="98">
          <cell r="A98" t="str">
            <v>重工业</v>
          </cell>
          <cell r="B98" t="str">
            <v>中型</v>
          </cell>
          <cell r="C98" t="str">
            <v>股份有限公司</v>
          </cell>
          <cell r="D98">
            <v>86994.75</v>
          </cell>
        </row>
        <row r="99">
          <cell r="A99" t="str">
            <v>重工业</v>
          </cell>
          <cell r="B99" t="str">
            <v>大型</v>
          </cell>
          <cell r="C99" t="str">
            <v>国有及国有控股企业</v>
          </cell>
          <cell r="D99">
            <v>96618.05</v>
          </cell>
        </row>
        <row r="100">
          <cell r="A100" t="str">
            <v>重工业</v>
          </cell>
          <cell r="B100" t="str">
            <v>中型</v>
          </cell>
          <cell r="C100" t="str">
            <v>股份有限公司</v>
          </cell>
          <cell r="D100">
            <v>7021.26</v>
          </cell>
        </row>
        <row r="101">
          <cell r="A101" t="str">
            <v>轻工业</v>
          </cell>
          <cell r="B101" t="str">
            <v>中型</v>
          </cell>
          <cell r="C101" t="str">
            <v>集体企业</v>
          </cell>
          <cell r="D101">
            <v>76916.75</v>
          </cell>
        </row>
        <row r="102">
          <cell r="A102" t="str">
            <v>重工业</v>
          </cell>
          <cell r="B102" t="str">
            <v>中型</v>
          </cell>
          <cell r="C102" t="str">
            <v>外商投资企业</v>
          </cell>
          <cell r="D102">
            <v>20510.23</v>
          </cell>
        </row>
        <row r="103">
          <cell r="A103" t="str">
            <v>轻工业</v>
          </cell>
          <cell r="B103" t="str">
            <v>中型</v>
          </cell>
          <cell r="C103" t="str">
            <v>股份有限公司</v>
          </cell>
          <cell r="D103">
            <v>52081.35</v>
          </cell>
        </row>
        <row r="104">
          <cell r="A104" t="str">
            <v>重工业</v>
          </cell>
          <cell r="B104" t="str">
            <v>中型</v>
          </cell>
          <cell r="C104" t="str">
            <v>集体企业</v>
          </cell>
          <cell r="D104">
            <v>12040.72</v>
          </cell>
        </row>
        <row r="105">
          <cell r="A105" t="str">
            <v>轻工业</v>
          </cell>
          <cell r="B105" t="str">
            <v>中型</v>
          </cell>
          <cell r="C105" t="str">
            <v>港澳台商投资企业</v>
          </cell>
          <cell r="D105">
            <v>73051.990000000005</v>
          </cell>
        </row>
        <row r="106">
          <cell r="A106" t="str">
            <v>轻工业</v>
          </cell>
          <cell r="B106" t="str">
            <v>大型</v>
          </cell>
          <cell r="C106" t="str">
            <v>外商投资企业</v>
          </cell>
          <cell r="D106">
            <v>64698.879999999997</v>
          </cell>
        </row>
        <row r="107">
          <cell r="A107" t="str">
            <v>轻工业</v>
          </cell>
          <cell r="B107" t="str">
            <v>大型</v>
          </cell>
          <cell r="C107" t="str">
            <v>国有及国有控股企业</v>
          </cell>
          <cell r="D107">
            <v>28791.17</v>
          </cell>
        </row>
        <row r="108">
          <cell r="A108" t="str">
            <v>重工业</v>
          </cell>
          <cell r="B108" t="str">
            <v>大型</v>
          </cell>
          <cell r="C108" t="str">
            <v>集体企业</v>
          </cell>
          <cell r="D108">
            <v>79173.929999999993</v>
          </cell>
        </row>
        <row r="109">
          <cell r="A109" t="str">
            <v>轻工业</v>
          </cell>
          <cell r="B109" t="str">
            <v>中型</v>
          </cell>
          <cell r="C109" t="str">
            <v>国有及国有控股企业</v>
          </cell>
          <cell r="D109">
            <v>88266.66</v>
          </cell>
        </row>
        <row r="110">
          <cell r="A110" t="str">
            <v>轻工业</v>
          </cell>
          <cell r="B110" t="str">
            <v>大型</v>
          </cell>
          <cell r="C110" t="str">
            <v>股份有限公司</v>
          </cell>
          <cell r="D110">
            <v>88024.12</v>
          </cell>
        </row>
        <row r="111">
          <cell r="A111" t="str">
            <v>重工业</v>
          </cell>
          <cell r="B111" t="str">
            <v>大型</v>
          </cell>
          <cell r="C111" t="str">
            <v>外商投资企业</v>
          </cell>
          <cell r="D111">
            <v>5970.86</v>
          </cell>
        </row>
        <row r="112">
          <cell r="A112" t="str">
            <v>重工业</v>
          </cell>
          <cell r="B112" t="str">
            <v>大型</v>
          </cell>
          <cell r="C112" t="str">
            <v>外商投资企业</v>
          </cell>
          <cell r="D112">
            <v>60996.23</v>
          </cell>
        </row>
        <row r="113">
          <cell r="A113" t="str">
            <v>重工业</v>
          </cell>
          <cell r="B113" t="str">
            <v>大型</v>
          </cell>
          <cell r="C113" t="str">
            <v>港澳台商投资企业</v>
          </cell>
          <cell r="D113">
            <v>65077.91</v>
          </cell>
        </row>
        <row r="114">
          <cell r="A114" t="str">
            <v>重工业</v>
          </cell>
          <cell r="B114" t="str">
            <v>小型</v>
          </cell>
          <cell r="C114" t="str">
            <v>外商投资企业</v>
          </cell>
          <cell r="D114">
            <v>51271.76</v>
          </cell>
        </row>
        <row r="115">
          <cell r="A115" t="str">
            <v>轻工业</v>
          </cell>
          <cell r="B115" t="str">
            <v>小型</v>
          </cell>
          <cell r="C115" t="str">
            <v>港澳台商投资企业</v>
          </cell>
          <cell r="D115">
            <v>61059.42</v>
          </cell>
        </row>
        <row r="116">
          <cell r="A116" t="str">
            <v>轻工业</v>
          </cell>
          <cell r="B116" t="str">
            <v>大型</v>
          </cell>
          <cell r="C116" t="str">
            <v>集体企业</v>
          </cell>
          <cell r="D116">
            <v>85650.38</v>
          </cell>
        </row>
        <row r="117">
          <cell r="A117" t="str">
            <v>轻工业</v>
          </cell>
          <cell r="B117" t="str">
            <v>中型</v>
          </cell>
          <cell r="C117" t="str">
            <v>港澳台商投资企业</v>
          </cell>
          <cell r="D117">
            <v>93494.33</v>
          </cell>
        </row>
        <row r="118">
          <cell r="A118" t="str">
            <v>轻工业</v>
          </cell>
          <cell r="B118" t="str">
            <v>小型</v>
          </cell>
          <cell r="C118" t="str">
            <v>国有及国有控股企业</v>
          </cell>
          <cell r="D118">
            <v>28990.73</v>
          </cell>
        </row>
        <row r="119">
          <cell r="A119" t="str">
            <v>轻工业</v>
          </cell>
          <cell r="B119" t="str">
            <v>中型</v>
          </cell>
          <cell r="C119" t="str">
            <v>港澳台商投资企业</v>
          </cell>
          <cell r="D119">
            <v>39134.300000000003</v>
          </cell>
        </row>
        <row r="120">
          <cell r="A120" t="str">
            <v>重工业</v>
          </cell>
          <cell r="B120" t="str">
            <v>中型</v>
          </cell>
          <cell r="C120" t="str">
            <v>国有及国有控股企业</v>
          </cell>
          <cell r="D120">
            <v>59100.93</v>
          </cell>
        </row>
        <row r="121">
          <cell r="A121" t="str">
            <v>重工业</v>
          </cell>
          <cell r="B121" t="str">
            <v>小型</v>
          </cell>
          <cell r="C121" t="str">
            <v>外商投资企业</v>
          </cell>
          <cell r="D121">
            <v>51346.73</v>
          </cell>
        </row>
        <row r="122">
          <cell r="A122" t="str">
            <v>轻工业</v>
          </cell>
          <cell r="B122" t="str">
            <v>小型</v>
          </cell>
          <cell r="C122" t="str">
            <v>股份有限公司</v>
          </cell>
          <cell r="D122">
            <v>97389.19</v>
          </cell>
        </row>
        <row r="123">
          <cell r="A123" t="str">
            <v>轻工业</v>
          </cell>
          <cell r="B123" t="str">
            <v>中型</v>
          </cell>
          <cell r="C123" t="str">
            <v>外商投资企业</v>
          </cell>
          <cell r="D123">
            <v>80402.77</v>
          </cell>
        </row>
        <row r="124">
          <cell r="A124" t="str">
            <v>轻工业</v>
          </cell>
          <cell r="B124" t="str">
            <v>小型</v>
          </cell>
          <cell r="C124" t="str">
            <v>股份有限公司</v>
          </cell>
          <cell r="D124">
            <v>56729.65</v>
          </cell>
        </row>
        <row r="125">
          <cell r="A125" t="str">
            <v>轻工业</v>
          </cell>
          <cell r="B125" t="str">
            <v>小型</v>
          </cell>
          <cell r="C125" t="str">
            <v>外商投资企业</v>
          </cell>
          <cell r="D125">
            <v>63038.03</v>
          </cell>
        </row>
        <row r="126">
          <cell r="A126" t="str">
            <v>轻工业</v>
          </cell>
          <cell r="B126" t="str">
            <v>大型</v>
          </cell>
          <cell r="C126" t="str">
            <v>港澳台商投资企业</v>
          </cell>
          <cell r="D126">
            <v>17631.28</v>
          </cell>
        </row>
        <row r="127">
          <cell r="A127" t="str">
            <v>轻工业</v>
          </cell>
          <cell r="B127" t="str">
            <v>大型</v>
          </cell>
          <cell r="C127" t="str">
            <v>国有及国有控股企业</v>
          </cell>
          <cell r="D127">
            <v>77979.97</v>
          </cell>
        </row>
        <row r="128">
          <cell r="A128" t="str">
            <v>轻工业</v>
          </cell>
          <cell r="B128" t="str">
            <v>大型</v>
          </cell>
          <cell r="C128" t="str">
            <v>外商投资企业</v>
          </cell>
          <cell r="D128">
            <v>62456.34</v>
          </cell>
        </row>
        <row r="129">
          <cell r="A129" t="str">
            <v>轻工业</v>
          </cell>
          <cell r="B129" t="str">
            <v>大型</v>
          </cell>
          <cell r="C129" t="str">
            <v>港澳台商投资企业</v>
          </cell>
          <cell r="D129">
            <v>4824.6000000000004</v>
          </cell>
        </row>
        <row r="130">
          <cell r="A130" t="str">
            <v>重工业</v>
          </cell>
          <cell r="B130" t="str">
            <v>小型</v>
          </cell>
          <cell r="C130" t="str">
            <v>股份有限公司</v>
          </cell>
          <cell r="D130">
            <v>3563.57</v>
          </cell>
        </row>
        <row r="131">
          <cell r="A131" t="str">
            <v>轻工业</v>
          </cell>
          <cell r="B131" t="str">
            <v>小型</v>
          </cell>
          <cell r="C131" t="str">
            <v>国有及国有控股企业</v>
          </cell>
          <cell r="D131">
            <v>18988.759999999998</v>
          </cell>
        </row>
        <row r="132">
          <cell r="A132" t="str">
            <v>重工业</v>
          </cell>
          <cell r="B132" t="str">
            <v>小型</v>
          </cell>
          <cell r="C132" t="str">
            <v>国有及国有控股企业</v>
          </cell>
          <cell r="D132">
            <v>9784.1</v>
          </cell>
        </row>
        <row r="133">
          <cell r="A133" t="str">
            <v>重工业</v>
          </cell>
          <cell r="B133" t="str">
            <v>小型</v>
          </cell>
          <cell r="C133" t="str">
            <v>港澳台商投资企业</v>
          </cell>
          <cell r="D133">
            <v>10806.28</v>
          </cell>
        </row>
        <row r="134">
          <cell r="A134" t="str">
            <v>轻工业</v>
          </cell>
          <cell r="B134" t="str">
            <v>小型</v>
          </cell>
          <cell r="C134" t="str">
            <v>外商投资企业</v>
          </cell>
          <cell r="D134">
            <v>49647.9</v>
          </cell>
        </row>
        <row r="135">
          <cell r="A135" t="str">
            <v>重工业</v>
          </cell>
          <cell r="B135" t="str">
            <v>大型</v>
          </cell>
          <cell r="C135" t="str">
            <v>国有及国有控股企业</v>
          </cell>
          <cell r="D135">
            <v>13201.48</v>
          </cell>
        </row>
        <row r="136">
          <cell r="A136" t="str">
            <v>轻工业</v>
          </cell>
          <cell r="B136" t="str">
            <v>小型</v>
          </cell>
          <cell r="C136" t="str">
            <v>港澳台商投资企业</v>
          </cell>
          <cell r="D136">
            <v>72906.03</v>
          </cell>
        </row>
        <row r="137">
          <cell r="A137" t="str">
            <v>轻工业</v>
          </cell>
          <cell r="B137" t="str">
            <v>大型</v>
          </cell>
          <cell r="C137" t="str">
            <v>股份有限公司</v>
          </cell>
          <cell r="D137">
            <v>31277.08</v>
          </cell>
        </row>
        <row r="138">
          <cell r="A138" t="str">
            <v>重工业</v>
          </cell>
          <cell r="B138" t="str">
            <v>大型</v>
          </cell>
          <cell r="C138" t="str">
            <v>集体企业</v>
          </cell>
          <cell r="D138">
            <v>93323.68</v>
          </cell>
        </row>
        <row r="139">
          <cell r="A139" t="str">
            <v>轻工业</v>
          </cell>
          <cell r="B139" t="str">
            <v>大型</v>
          </cell>
          <cell r="C139" t="str">
            <v>国有及国有控股企业</v>
          </cell>
          <cell r="D139">
            <v>52956.639999999999</v>
          </cell>
        </row>
        <row r="140">
          <cell r="A140" t="str">
            <v>重工业</v>
          </cell>
          <cell r="B140" t="str">
            <v>中型</v>
          </cell>
          <cell r="C140" t="str">
            <v>股份有限公司</v>
          </cell>
          <cell r="D140">
            <v>8260.58</v>
          </cell>
        </row>
        <row r="141">
          <cell r="A141" t="str">
            <v>轻工业</v>
          </cell>
          <cell r="B141" t="str">
            <v>中型</v>
          </cell>
          <cell r="C141" t="str">
            <v>港澳台商投资企业</v>
          </cell>
          <cell r="D141">
            <v>48322.31</v>
          </cell>
        </row>
        <row r="142">
          <cell r="A142" t="str">
            <v>重工业</v>
          </cell>
          <cell r="B142" t="str">
            <v>大型</v>
          </cell>
          <cell r="C142" t="str">
            <v>港澳台商投资企业</v>
          </cell>
          <cell r="D142">
            <v>94563.72</v>
          </cell>
        </row>
        <row r="143">
          <cell r="A143" t="str">
            <v>重工业</v>
          </cell>
          <cell r="B143" t="str">
            <v>中型</v>
          </cell>
          <cell r="C143" t="str">
            <v>国有及国有控股企业</v>
          </cell>
          <cell r="D143">
            <v>31410.19</v>
          </cell>
        </row>
        <row r="144">
          <cell r="A144" t="str">
            <v>轻工业</v>
          </cell>
          <cell r="B144" t="str">
            <v>中型</v>
          </cell>
          <cell r="C144" t="str">
            <v>国有及国有控股企业</v>
          </cell>
          <cell r="D144">
            <v>580.66</v>
          </cell>
        </row>
        <row r="145">
          <cell r="A145" t="str">
            <v>重工业</v>
          </cell>
          <cell r="B145" t="str">
            <v>大型</v>
          </cell>
          <cell r="C145" t="str">
            <v>集体企业</v>
          </cell>
          <cell r="D145">
            <v>23815.87</v>
          </cell>
        </row>
        <row r="146">
          <cell r="A146" t="str">
            <v>重工业</v>
          </cell>
          <cell r="B146" t="str">
            <v>小型</v>
          </cell>
          <cell r="C146" t="str">
            <v>外商投资企业</v>
          </cell>
          <cell r="D146">
            <v>16824.98</v>
          </cell>
        </row>
        <row r="147">
          <cell r="A147" t="str">
            <v>重工业</v>
          </cell>
          <cell r="B147" t="str">
            <v>小型</v>
          </cell>
          <cell r="C147" t="str">
            <v>国有及国有控股企业</v>
          </cell>
          <cell r="D147">
            <v>59300.17</v>
          </cell>
        </row>
        <row r="148">
          <cell r="A148" t="str">
            <v>重工业</v>
          </cell>
          <cell r="B148" t="str">
            <v>大型</v>
          </cell>
          <cell r="C148" t="str">
            <v>股份有限公司</v>
          </cell>
          <cell r="D148">
            <v>8134.72</v>
          </cell>
        </row>
        <row r="149">
          <cell r="A149" t="str">
            <v>轻工业</v>
          </cell>
          <cell r="B149" t="str">
            <v>中型</v>
          </cell>
          <cell r="C149" t="str">
            <v>集体企业</v>
          </cell>
          <cell r="D149">
            <v>12173.9</v>
          </cell>
        </row>
        <row r="150">
          <cell r="A150" t="str">
            <v>轻工业</v>
          </cell>
          <cell r="B150" t="str">
            <v>中型</v>
          </cell>
          <cell r="C150" t="str">
            <v>外商投资企业</v>
          </cell>
          <cell r="D150">
            <v>81019.95</v>
          </cell>
        </row>
        <row r="151">
          <cell r="A151" t="str">
            <v>轻工业</v>
          </cell>
          <cell r="B151" t="str">
            <v>小型</v>
          </cell>
          <cell r="C151" t="str">
            <v>港澳台商投资企业</v>
          </cell>
          <cell r="D151">
            <v>18074.650000000001</v>
          </cell>
        </row>
        <row r="152">
          <cell r="A152" t="str">
            <v>重工业</v>
          </cell>
          <cell r="B152" t="str">
            <v>小型</v>
          </cell>
          <cell r="C152" t="str">
            <v>港澳台商投资企业</v>
          </cell>
          <cell r="D152">
            <v>32319.29</v>
          </cell>
        </row>
        <row r="153">
          <cell r="A153" t="str">
            <v>重工业</v>
          </cell>
          <cell r="B153" t="str">
            <v>大型</v>
          </cell>
          <cell r="C153" t="str">
            <v>港澳台商投资企业</v>
          </cell>
          <cell r="D153">
            <v>28917.200000000001</v>
          </cell>
        </row>
        <row r="154">
          <cell r="A154" t="str">
            <v>轻工业</v>
          </cell>
          <cell r="B154" t="str">
            <v>大型</v>
          </cell>
          <cell r="C154" t="str">
            <v>集体企业</v>
          </cell>
          <cell r="D154">
            <v>16939.53</v>
          </cell>
        </row>
        <row r="155">
          <cell r="A155" t="str">
            <v>轻工业</v>
          </cell>
          <cell r="B155" t="str">
            <v>小型</v>
          </cell>
          <cell r="C155" t="str">
            <v>股份有限公司</v>
          </cell>
          <cell r="D155">
            <v>84304.69</v>
          </cell>
        </row>
        <row r="156">
          <cell r="A156" t="str">
            <v>重工业</v>
          </cell>
          <cell r="B156" t="str">
            <v>小型</v>
          </cell>
          <cell r="C156" t="str">
            <v>集体企业</v>
          </cell>
          <cell r="D156">
            <v>77487.16</v>
          </cell>
        </row>
        <row r="157">
          <cell r="A157" t="str">
            <v>轻工业</v>
          </cell>
          <cell r="B157" t="str">
            <v>小型</v>
          </cell>
          <cell r="C157" t="str">
            <v>股份有限公司</v>
          </cell>
          <cell r="D157">
            <v>22522.62</v>
          </cell>
        </row>
        <row r="158">
          <cell r="A158" t="str">
            <v>轻工业</v>
          </cell>
          <cell r="B158" t="str">
            <v>中型</v>
          </cell>
          <cell r="C158" t="str">
            <v>股份有限公司</v>
          </cell>
          <cell r="D158">
            <v>15777.65</v>
          </cell>
        </row>
        <row r="159">
          <cell r="A159" t="str">
            <v>重工业</v>
          </cell>
          <cell r="B159" t="str">
            <v>中型</v>
          </cell>
          <cell r="C159" t="str">
            <v>外商投资企业</v>
          </cell>
          <cell r="D159">
            <v>73470.55</v>
          </cell>
        </row>
        <row r="160">
          <cell r="A160" t="str">
            <v>轻工业</v>
          </cell>
          <cell r="B160" t="str">
            <v>小型</v>
          </cell>
          <cell r="C160" t="str">
            <v>国有及国有控股企业</v>
          </cell>
          <cell r="D160">
            <v>75394.3</v>
          </cell>
        </row>
        <row r="161">
          <cell r="A161" t="str">
            <v>轻工业</v>
          </cell>
          <cell r="B161" t="str">
            <v>大型</v>
          </cell>
          <cell r="C161" t="str">
            <v>港澳台商投资企业</v>
          </cell>
          <cell r="D161">
            <v>68571.53</v>
          </cell>
        </row>
        <row r="162">
          <cell r="A162" t="str">
            <v>轻工业</v>
          </cell>
          <cell r="B162" t="str">
            <v>小型</v>
          </cell>
          <cell r="C162" t="str">
            <v>国有及国有控股企业</v>
          </cell>
          <cell r="D162">
            <v>62156.88</v>
          </cell>
        </row>
        <row r="163">
          <cell r="A163" t="str">
            <v>轻工业</v>
          </cell>
          <cell r="B163" t="str">
            <v>小型</v>
          </cell>
          <cell r="C163" t="str">
            <v>外商投资企业</v>
          </cell>
          <cell r="D163">
            <v>63813.31</v>
          </cell>
        </row>
        <row r="164">
          <cell r="A164" t="str">
            <v>轻工业</v>
          </cell>
          <cell r="B164" t="str">
            <v>大型</v>
          </cell>
          <cell r="C164" t="str">
            <v>股份有限公司</v>
          </cell>
          <cell r="D164">
            <v>31616.34</v>
          </cell>
        </row>
        <row r="165">
          <cell r="A165" t="str">
            <v>轻工业</v>
          </cell>
          <cell r="B165" t="str">
            <v>大型</v>
          </cell>
          <cell r="C165" t="str">
            <v>港澳台商投资企业</v>
          </cell>
          <cell r="D165">
            <v>25192.37</v>
          </cell>
        </row>
        <row r="166">
          <cell r="A166" t="str">
            <v>轻工业</v>
          </cell>
          <cell r="B166" t="str">
            <v>中型</v>
          </cell>
          <cell r="C166" t="str">
            <v>港澳台商投资企业</v>
          </cell>
          <cell r="D166">
            <v>35425.300000000003</v>
          </cell>
        </row>
        <row r="167">
          <cell r="A167" t="str">
            <v>重工业</v>
          </cell>
          <cell r="B167" t="str">
            <v>大型</v>
          </cell>
          <cell r="C167" t="str">
            <v>港澳台商投资企业</v>
          </cell>
          <cell r="D167">
            <v>32980.089999999997</v>
          </cell>
        </row>
        <row r="168">
          <cell r="A168" t="str">
            <v>轻工业</v>
          </cell>
          <cell r="B168" t="str">
            <v>中型</v>
          </cell>
          <cell r="C168" t="str">
            <v>外商投资企业</v>
          </cell>
          <cell r="D168">
            <v>18639.7</v>
          </cell>
        </row>
        <row r="169">
          <cell r="A169" t="str">
            <v>轻工业</v>
          </cell>
          <cell r="B169" t="str">
            <v>小型</v>
          </cell>
          <cell r="C169" t="str">
            <v>国有及国有控股企业</v>
          </cell>
          <cell r="D169">
            <v>81618.259999999995</v>
          </cell>
        </row>
        <row r="170">
          <cell r="A170" t="str">
            <v>重工业</v>
          </cell>
          <cell r="B170" t="str">
            <v>中型</v>
          </cell>
          <cell r="C170" t="str">
            <v>港澳台商投资企业</v>
          </cell>
          <cell r="D170">
            <v>94020.78</v>
          </cell>
        </row>
        <row r="171">
          <cell r="A171" t="str">
            <v>轻工业</v>
          </cell>
          <cell r="B171" t="str">
            <v>小型</v>
          </cell>
          <cell r="C171" t="str">
            <v>股份有限公司</v>
          </cell>
          <cell r="D171">
            <v>99243.94</v>
          </cell>
        </row>
        <row r="172">
          <cell r="A172" t="str">
            <v>重工业</v>
          </cell>
          <cell r="B172" t="str">
            <v>小型</v>
          </cell>
          <cell r="C172" t="str">
            <v>港澳台商投资企业</v>
          </cell>
          <cell r="D172">
            <v>95850.63</v>
          </cell>
        </row>
        <row r="173">
          <cell r="A173" t="str">
            <v>轻工业</v>
          </cell>
          <cell r="B173" t="str">
            <v>大型</v>
          </cell>
          <cell r="C173" t="str">
            <v>股份有限公司</v>
          </cell>
          <cell r="D173">
            <v>70143.17</v>
          </cell>
        </row>
        <row r="174">
          <cell r="A174" t="str">
            <v>轻工业</v>
          </cell>
          <cell r="B174" t="str">
            <v>小型</v>
          </cell>
          <cell r="C174" t="str">
            <v>股份有限公司</v>
          </cell>
          <cell r="D174">
            <v>97238.79</v>
          </cell>
        </row>
        <row r="175">
          <cell r="A175" t="str">
            <v>轻工业</v>
          </cell>
          <cell r="B175" t="str">
            <v>大型</v>
          </cell>
          <cell r="C175" t="str">
            <v>国有及国有控股企业</v>
          </cell>
          <cell r="D175">
            <v>3257.32</v>
          </cell>
        </row>
        <row r="176">
          <cell r="A176" t="str">
            <v>重工业</v>
          </cell>
          <cell r="B176" t="str">
            <v>大型</v>
          </cell>
          <cell r="C176" t="str">
            <v>股份有限公司</v>
          </cell>
          <cell r="D176">
            <v>11269.99</v>
          </cell>
        </row>
        <row r="177">
          <cell r="A177" t="str">
            <v>轻工业</v>
          </cell>
          <cell r="B177" t="str">
            <v>小型</v>
          </cell>
          <cell r="C177" t="str">
            <v>股份有限公司</v>
          </cell>
          <cell r="D177">
            <v>3715.15</v>
          </cell>
        </row>
        <row r="178">
          <cell r="A178" t="str">
            <v>重工业</v>
          </cell>
          <cell r="B178" t="str">
            <v>大型</v>
          </cell>
          <cell r="C178" t="str">
            <v>港澳台商投资企业</v>
          </cell>
          <cell r="D178">
            <v>7631.13</v>
          </cell>
        </row>
        <row r="179">
          <cell r="A179" t="str">
            <v>轻工业</v>
          </cell>
          <cell r="B179" t="str">
            <v>大型</v>
          </cell>
          <cell r="C179" t="str">
            <v>集体企业</v>
          </cell>
          <cell r="D179">
            <v>66459.86</v>
          </cell>
        </row>
        <row r="180">
          <cell r="A180" t="str">
            <v>重工业</v>
          </cell>
          <cell r="B180" t="str">
            <v>小型</v>
          </cell>
          <cell r="C180" t="str">
            <v>集体企业</v>
          </cell>
          <cell r="D180">
            <v>23443.63</v>
          </cell>
        </row>
        <row r="181">
          <cell r="A181" t="str">
            <v>轻工业</v>
          </cell>
          <cell r="B181" t="str">
            <v>大型</v>
          </cell>
          <cell r="C181" t="str">
            <v>国有及国有控股企业</v>
          </cell>
          <cell r="D181">
            <v>61059.73</v>
          </cell>
        </row>
        <row r="182">
          <cell r="A182" t="str">
            <v>轻工业</v>
          </cell>
          <cell r="B182" t="str">
            <v>小型</v>
          </cell>
          <cell r="C182" t="str">
            <v>股份有限公司</v>
          </cell>
          <cell r="D182">
            <v>88757.4</v>
          </cell>
        </row>
        <row r="183">
          <cell r="A183" t="str">
            <v>重工业</v>
          </cell>
          <cell r="B183" t="str">
            <v>大型</v>
          </cell>
          <cell r="C183" t="str">
            <v>外商投资企业</v>
          </cell>
          <cell r="D183">
            <v>7536.54</v>
          </cell>
        </row>
        <row r="184">
          <cell r="A184" t="str">
            <v>重工业</v>
          </cell>
          <cell r="B184" t="str">
            <v>中型</v>
          </cell>
          <cell r="C184" t="str">
            <v>集体企业</v>
          </cell>
          <cell r="D184">
            <v>37500.01</v>
          </cell>
        </row>
        <row r="185">
          <cell r="A185" t="str">
            <v>轻工业</v>
          </cell>
          <cell r="B185" t="str">
            <v>小型</v>
          </cell>
          <cell r="C185" t="str">
            <v>集体企业</v>
          </cell>
          <cell r="D185">
            <v>8714.32</v>
          </cell>
        </row>
        <row r="186">
          <cell r="A186" t="str">
            <v>重工业</v>
          </cell>
          <cell r="B186" t="str">
            <v>中型</v>
          </cell>
          <cell r="C186" t="str">
            <v>外商投资企业</v>
          </cell>
          <cell r="D186">
            <v>4502.09</v>
          </cell>
        </row>
        <row r="187">
          <cell r="A187" t="str">
            <v>重工业</v>
          </cell>
          <cell r="B187" t="str">
            <v>大型</v>
          </cell>
          <cell r="C187" t="str">
            <v>股份有限公司</v>
          </cell>
          <cell r="D187">
            <v>36126.29</v>
          </cell>
        </row>
        <row r="188">
          <cell r="A188" t="str">
            <v>轻工业</v>
          </cell>
          <cell r="B188" t="str">
            <v>中型</v>
          </cell>
          <cell r="C188" t="str">
            <v>股份有限公司</v>
          </cell>
          <cell r="D188">
            <v>17442.73</v>
          </cell>
        </row>
        <row r="189">
          <cell r="A189" t="str">
            <v>轻工业</v>
          </cell>
          <cell r="B189" t="str">
            <v>大型</v>
          </cell>
          <cell r="C189" t="str">
            <v>股份有限公司</v>
          </cell>
          <cell r="D189">
            <v>26207.02</v>
          </cell>
        </row>
        <row r="190">
          <cell r="A190" t="str">
            <v>重工业</v>
          </cell>
          <cell r="B190" t="str">
            <v>中型</v>
          </cell>
          <cell r="C190" t="str">
            <v>国有及国有控股企业</v>
          </cell>
          <cell r="D190">
            <v>304.60000000000002</v>
          </cell>
        </row>
        <row r="191">
          <cell r="A191" t="str">
            <v>轻工业</v>
          </cell>
          <cell r="B191" t="str">
            <v>小型</v>
          </cell>
          <cell r="C191" t="str">
            <v>港澳台商投资企业</v>
          </cell>
          <cell r="D191">
            <v>12625.84</v>
          </cell>
        </row>
        <row r="192">
          <cell r="A192" t="str">
            <v>重工业</v>
          </cell>
          <cell r="B192" t="str">
            <v>小型</v>
          </cell>
          <cell r="C192" t="str">
            <v>股份有限公司</v>
          </cell>
          <cell r="D192">
            <v>19540.98</v>
          </cell>
        </row>
        <row r="193">
          <cell r="A193" t="str">
            <v>重工业</v>
          </cell>
          <cell r="B193" t="str">
            <v>大型</v>
          </cell>
          <cell r="C193" t="str">
            <v>股份有限公司</v>
          </cell>
          <cell r="D193">
            <v>33061.56</v>
          </cell>
        </row>
        <row r="194">
          <cell r="A194" t="str">
            <v>重工业</v>
          </cell>
          <cell r="B194" t="str">
            <v>中型</v>
          </cell>
          <cell r="C194" t="str">
            <v>集体企业</v>
          </cell>
          <cell r="D194">
            <v>18694.79</v>
          </cell>
        </row>
        <row r="195">
          <cell r="A195" t="str">
            <v>轻工业</v>
          </cell>
          <cell r="B195" t="str">
            <v>大型</v>
          </cell>
          <cell r="C195" t="str">
            <v>港澳台商投资企业</v>
          </cell>
          <cell r="D195">
            <v>22622.52</v>
          </cell>
        </row>
        <row r="196">
          <cell r="A196" t="str">
            <v>轻工业</v>
          </cell>
          <cell r="B196" t="str">
            <v>中型</v>
          </cell>
          <cell r="C196" t="str">
            <v>集体企业</v>
          </cell>
          <cell r="D196">
            <v>96918.51</v>
          </cell>
        </row>
        <row r="197">
          <cell r="A197" t="str">
            <v>轻工业</v>
          </cell>
          <cell r="B197" t="str">
            <v>大型</v>
          </cell>
          <cell r="C197" t="str">
            <v>股份有限公司</v>
          </cell>
          <cell r="D197">
            <v>57864.66</v>
          </cell>
        </row>
        <row r="198">
          <cell r="A198" t="str">
            <v>重工业</v>
          </cell>
          <cell r="B198" t="str">
            <v>大型</v>
          </cell>
          <cell r="C198" t="str">
            <v>港澳台商投资企业</v>
          </cell>
          <cell r="D198">
            <v>9973.5</v>
          </cell>
        </row>
        <row r="199">
          <cell r="A199" t="str">
            <v>轻工业</v>
          </cell>
          <cell r="B199" t="str">
            <v>小型</v>
          </cell>
          <cell r="C199" t="str">
            <v>外商投资企业</v>
          </cell>
          <cell r="D199">
            <v>70901.440000000002</v>
          </cell>
        </row>
        <row r="200">
          <cell r="A200" t="str">
            <v>轻工业</v>
          </cell>
          <cell r="B200" t="str">
            <v>中型</v>
          </cell>
          <cell r="C200" t="str">
            <v>外商投资企业</v>
          </cell>
          <cell r="D200">
            <v>44194.67</v>
          </cell>
        </row>
        <row r="201">
          <cell r="A201" t="str">
            <v>轻工业</v>
          </cell>
          <cell r="B201" t="str">
            <v>大型</v>
          </cell>
          <cell r="C201" t="str">
            <v>外商投资企业</v>
          </cell>
          <cell r="D201">
            <v>56968.5</v>
          </cell>
        </row>
        <row r="202">
          <cell r="A202" t="str">
            <v>重工业</v>
          </cell>
          <cell r="B202" t="str">
            <v>大型</v>
          </cell>
          <cell r="C202" t="str">
            <v>国有及国有控股企业</v>
          </cell>
          <cell r="D202">
            <v>8755.67</v>
          </cell>
        </row>
        <row r="203">
          <cell r="A203" t="str">
            <v>轻工业</v>
          </cell>
          <cell r="B203" t="str">
            <v>大型</v>
          </cell>
          <cell r="C203" t="str">
            <v>外商投资企业</v>
          </cell>
          <cell r="D203">
            <v>10524.85</v>
          </cell>
        </row>
        <row r="204">
          <cell r="A204" t="str">
            <v>轻工业</v>
          </cell>
          <cell r="B204" t="str">
            <v>中型</v>
          </cell>
          <cell r="C204" t="str">
            <v>集体企业</v>
          </cell>
          <cell r="D204">
            <v>85643.26</v>
          </cell>
        </row>
        <row r="205">
          <cell r="A205" t="str">
            <v>重工业</v>
          </cell>
          <cell r="B205" t="str">
            <v>中型</v>
          </cell>
          <cell r="C205" t="str">
            <v>股份有限公司</v>
          </cell>
          <cell r="D205">
            <v>23565.4</v>
          </cell>
        </row>
        <row r="206">
          <cell r="A206" t="str">
            <v>轻工业</v>
          </cell>
          <cell r="B206" t="str">
            <v>中型</v>
          </cell>
          <cell r="C206" t="str">
            <v>集体企业</v>
          </cell>
          <cell r="D206">
            <v>56951.03</v>
          </cell>
        </row>
        <row r="207">
          <cell r="A207" t="str">
            <v>轻工业</v>
          </cell>
          <cell r="B207" t="str">
            <v>大型</v>
          </cell>
          <cell r="C207" t="str">
            <v>集体企业</v>
          </cell>
          <cell r="D207">
            <v>37158.29</v>
          </cell>
        </row>
        <row r="208">
          <cell r="A208" t="str">
            <v>重工业</v>
          </cell>
          <cell r="B208" t="str">
            <v>小型</v>
          </cell>
          <cell r="C208" t="str">
            <v>集体企业</v>
          </cell>
          <cell r="D208">
            <v>52671.72</v>
          </cell>
        </row>
        <row r="209">
          <cell r="A209" t="str">
            <v>轻工业</v>
          </cell>
          <cell r="B209" t="str">
            <v>大型</v>
          </cell>
          <cell r="C209" t="str">
            <v>外商投资企业</v>
          </cell>
          <cell r="D209">
            <v>10074.24</v>
          </cell>
        </row>
        <row r="210">
          <cell r="A210" t="str">
            <v>重工业</v>
          </cell>
          <cell r="B210" t="str">
            <v>大型</v>
          </cell>
          <cell r="C210" t="str">
            <v>外商投资企业</v>
          </cell>
          <cell r="D210">
            <v>60277.55</v>
          </cell>
        </row>
        <row r="211">
          <cell r="A211" t="str">
            <v>重工业</v>
          </cell>
          <cell r="B211" t="str">
            <v>中型</v>
          </cell>
          <cell r="C211" t="str">
            <v>港澳台商投资企业</v>
          </cell>
          <cell r="D211">
            <v>6924.83</v>
          </cell>
        </row>
        <row r="212">
          <cell r="A212" t="str">
            <v>轻工业</v>
          </cell>
          <cell r="B212" t="str">
            <v>小型</v>
          </cell>
          <cell r="C212" t="str">
            <v>集体企业</v>
          </cell>
          <cell r="D212">
            <v>29895.54</v>
          </cell>
        </row>
        <row r="213">
          <cell r="A213" t="str">
            <v>重工业</v>
          </cell>
          <cell r="B213" t="str">
            <v>小型</v>
          </cell>
          <cell r="C213" t="str">
            <v>集体企业</v>
          </cell>
          <cell r="D213">
            <v>25210.48</v>
          </cell>
        </row>
        <row r="214">
          <cell r="A214" t="str">
            <v>重工业</v>
          </cell>
          <cell r="B214" t="str">
            <v>大型</v>
          </cell>
          <cell r="C214" t="str">
            <v>集体企业</v>
          </cell>
          <cell r="D214">
            <v>13214.57</v>
          </cell>
        </row>
        <row r="215">
          <cell r="A215" t="str">
            <v>重工业</v>
          </cell>
          <cell r="B215" t="str">
            <v>小型</v>
          </cell>
          <cell r="C215" t="str">
            <v>港澳台商投资企业</v>
          </cell>
          <cell r="D215">
            <v>1382.63</v>
          </cell>
        </row>
        <row r="216">
          <cell r="A216" t="str">
            <v>轻工业</v>
          </cell>
          <cell r="B216" t="str">
            <v>大型</v>
          </cell>
          <cell r="C216" t="str">
            <v>外商投资企业</v>
          </cell>
          <cell r="D216">
            <v>99979.1</v>
          </cell>
        </row>
        <row r="217">
          <cell r="A217" t="str">
            <v>重工业</v>
          </cell>
          <cell r="B217" t="str">
            <v>中型</v>
          </cell>
          <cell r="C217" t="str">
            <v>股份有限公司</v>
          </cell>
          <cell r="D217">
            <v>15861.79</v>
          </cell>
        </row>
        <row r="218">
          <cell r="A218" t="str">
            <v>轻工业</v>
          </cell>
          <cell r="B218" t="str">
            <v>小型</v>
          </cell>
          <cell r="C218" t="str">
            <v>港澳台商投资企业</v>
          </cell>
          <cell r="D218">
            <v>99806.44</v>
          </cell>
        </row>
        <row r="219">
          <cell r="A219" t="str">
            <v>轻工业</v>
          </cell>
          <cell r="B219" t="str">
            <v>中型</v>
          </cell>
          <cell r="C219" t="str">
            <v>国有及国有控股企业</v>
          </cell>
          <cell r="D219">
            <v>20138.88</v>
          </cell>
        </row>
        <row r="220">
          <cell r="A220" t="str">
            <v>轻工业</v>
          </cell>
          <cell r="B220" t="str">
            <v>小型</v>
          </cell>
          <cell r="C220" t="str">
            <v>外商投资企业</v>
          </cell>
          <cell r="D220">
            <v>5045.21</v>
          </cell>
        </row>
        <row r="221">
          <cell r="A221" t="str">
            <v>轻工业</v>
          </cell>
          <cell r="B221" t="str">
            <v>大型</v>
          </cell>
          <cell r="C221" t="str">
            <v>国有及国有控股企业</v>
          </cell>
          <cell r="D221">
            <v>70098.09</v>
          </cell>
        </row>
        <row r="222">
          <cell r="A222" t="str">
            <v>轻工业</v>
          </cell>
          <cell r="B222" t="str">
            <v>中型</v>
          </cell>
          <cell r="C222" t="str">
            <v>港澳台商投资企业</v>
          </cell>
          <cell r="D222">
            <v>54484.36</v>
          </cell>
        </row>
        <row r="223">
          <cell r="A223" t="str">
            <v>重工业</v>
          </cell>
          <cell r="B223" t="str">
            <v>小型</v>
          </cell>
          <cell r="C223" t="str">
            <v>股份有限公司</v>
          </cell>
          <cell r="D223">
            <v>12009.02</v>
          </cell>
        </row>
        <row r="224">
          <cell r="A224" t="str">
            <v>轻工业</v>
          </cell>
          <cell r="B224" t="str">
            <v>中型</v>
          </cell>
          <cell r="C224" t="str">
            <v>外商投资企业</v>
          </cell>
          <cell r="D224">
            <v>61718.66</v>
          </cell>
        </row>
        <row r="225">
          <cell r="A225" t="str">
            <v>重工业</v>
          </cell>
          <cell r="B225" t="str">
            <v>中型</v>
          </cell>
          <cell r="C225" t="str">
            <v>股份有限公司</v>
          </cell>
          <cell r="D225">
            <v>60083.31</v>
          </cell>
        </row>
        <row r="226">
          <cell r="A226" t="str">
            <v>重工业</v>
          </cell>
          <cell r="B226" t="str">
            <v>小型</v>
          </cell>
          <cell r="C226" t="str">
            <v>国有及国有控股企业</v>
          </cell>
          <cell r="D226">
            <v>99314.23</v>
          </cell>
        </row>
        <row r="227">
          <cell r="A227" t="str">
            <v>重工业</v>
          </cell>
          <cell r="B227" t="str">
            <v>小型</v>
          </cell>
          <cell r="C227" t="str">
            <v>国有及国有控股企业</v>
          </cell>
          <cell r="D227">
            <v>86162.99</v>
          </cell>
        </row>
        <row r="228">
          <cell r="A228" t="str">
            <v>轻工业</v>
          </cell>
          <cell r="B228" t="str">
            <v>小型</v>
          </cell>
          <cell r="C228" t="str">
            <v>国有及国有控股企业</v>
          </cell>
          <cell r="D228">
            <v>27837.48</v>
          </cell>
        </row>
        <row r="229">
          <cell r="A229" t="str">
            <v>轻工业</v>
          </cell>
          <cell r="B229" t="str">
            <v>中型</v>
          </cell>
          <cell r="C229" t="str">
            <v>股份有限公司</v>
          </cell>
          <cell r="D229">
            <v>13039.96</v>
          </cell>
        </row>
        <row r="230">
          <cell r="A230" t="str">
            <v>重工业</v>
          </cell>
          <cell r="B230" t="str">
            <v>小型</v>
          </cell>
          <cell r="C230" t="str">
            <v>集体企业</v>
          </cell>
          <cell r="D230">
            <v>86567.75</v>
          </cell>
        </row>
        <row r="231">
          <cell r="A231" t="str">
            <v>重工业</v>
          </cell>
          <cell r="B231" t="str">
            <v>大型</v>
          </cell>
          <cell r="C231" t="str">
            <v>股份有限公司</v>
          </cell>
          <cell r="D231">
            <v>3034.29</v>
          </cell>
        </row>
        <row r="232">
          <cell r="A232" t="str">
            <v>重工业</v>
          </cell>
          <cell r="B232" t="str">
            <v>小型</v>
          </cell>
          <cell r="C232" t="str">
            <v>港澳台商投资企业</v>
          </cell>
          <cell r="D232">
            <v>20865.310000000001</v>
          </cell>
        </row>
        <row r="233">
          <cell r="A233" t="str">
            <v>重工业</v>
          </cell>
          <cell r="B233" t="str">
            <v>小型</v>
          </cell>
          <cell r="C233" t="str">
            <v>港澳台商投资企业</v>
          </cell>
          <cell r="D233">
            <v>39349.550000000003</v>
          </cell>
        </row>
        <row r="234">
          <cell r="A234" t="str">
            <v>轻工业</v>
          </cell>
          <cell r="B234" t="str">
            <v>中型</v>
          </cell>
          <cell r="C234" t="str">
            <v>国有及国有控股企业</v>
          </cell>
          <cell r="D234">
            <v>73020.679999999993</v>
          </cell>
        </row>
        <row r="235">
          <cell r="A235" t="str">
            <v>轻工业</v>
          </cell>
          <cell r="B235" t="str">
            <v>大型</v>
          </cell>
          <cell r="C235" t="str">
            <v>港澳台商投资企业</v>
          </cell>
          <cell r="D235">
            <v>57212.17</v>
          </cell>
        </row>
        <row r="236">
          <cell r="A236" t="str">
            <v>重工业</v>
          </cell>
          <cell r="B236" t="str">
            <v>中型</v>
          </cell>
          <cell r="C236" t="str">
            <v>集体企业</v>
          </cell>
          <cell r="D236">
            <v>1843.53</v>
          </cell>
        </row>
        <row r="237">
          <cell r="A237" t="str">
            <v>轻工业</v>
          </cell>
          <cell r="B237" t="str">
            <v>小型</v>
          </cell>
          <cell r="C237" t="str">
            <v>集体企业</v>
          </cell>
          <cell r="D237">
            <v>26450.97</v>
          </cell>
        </row>
        <row r="238">
          <cell r="A238" t="str">
            <v>轻工业</v>
          </cell>
          <cell r="B238" t="str">
            <v>大型</v>
          </cell>
          <cell r="C238" t="str">
            <v>外商投资企业</v>
          </cell>
          <cell r="D238">
            <v>96150.02</v>
          </cell>
        </row>
        <row r="239">
          <cell r="A239" t="str">
            <v>轻工业</v>
          </cell>
          <cell r="B239" t="str">
            <v>大型</v>
          </cell>
          <cell r="C239" t="str">
            <v>外商投资企业</v>
          </cell>
          <cell r="D239">
            <v>10453.82</v>
          </cell>
        </row>
        <row r="240">
          <cell r="A240" t="str">
            <v>重工业</v>
          </cell>
          <cell r="B240" t="str">
            <v>大型</v>
          </cell>
          <cell r="C240" t="str">
            <v>港澳台商投资企业</v>
          </cell>
          <cell r="D240">
            <v>88072.17</v>
          </cell>
        </row>
        <row r="241">
          <cell r="A241" t="str">
            <v>轻工业</v>
          </cell>
          <cell r="B241" t="str">
            <v>大型</v>
          </cell>
          <cell r="C241" t="str">
            <v>集体企业</v>
          </cell>
          <cell r="D241">
            <v>77933.119999999995</v>
          </cell>
        </row>
        <row r="242">
          <cell r="A242" t="str">
            <v>轻工业</v>
          </cell>
          <cell r="B242" t="str">
            <v>中型</v>
          </cell>
          <cell r="C242" t="str">
            <v>集体企业</v>
          </cell>
          <cell r="D242">
            <v>2344.62</v>
          </cell>
        </row>
        <row r="243">
          <cell r="A243" t="str">
            <v>轻工业</v>
          </cell>
          <cell r="B243" t="str">
            <v>小型</v>
          </cell>
          <cell r="C243" t="str">
            <v>集体企业</v>
          </cell>
          <cell r="D243">
            <v>47647.46</v>
          </cell>
        </row>
        <row r="244">
          <cell r="A244" t="str">
            <v>轻工业</v>
          </cell>
          <cell r="B244" t="str">
            <v>中型</v>
          </cell>
          <cell r="C244" t="str">
            <v>港澳台商投资企业</v>
          </cell>
          <cell r="D244">
            <v>66886.41</v>
          </cell>
        </row>
        <row r="245">
          <cell r="A245" t="str">
            <v>重工业</v>
          </cell>
          <cell r="B245" t="str">
            <v>小型</v>
          </cell>
          <cell r="C245" t="str">
            <v>股份有限公司</v>
          </cell>
          <cell r="D245">
            <v>12525.25</v>
          </cell>
        </row>
        <row r="246">
          <cell r="A246" t="str">
            <v>重工业</v>
          </cell>
          <cell r="B246" t="str">
            <v>小型</v>
          </cell>
          <cell r="C246" t="str">
            <v>港澳台商投资企业</v>
          </cell>
          <cell r="D246">
            <v>31589.84</v>
          </cell>
        </row>
        <row r="247">
          <cell r="A247" t="str">
            <v>重工业</v>
          </cell>
          <cell r="B247" t="str">
            <v>中型</v>
          </cell>
          <cell r="C247" t="str">
            <v>集体企业</v>
          </cell>
          <cell r="D247">
            <v>64906.65</v>
          </cell>
        </row>
        <row r="248">
          <cell r="A248" t="str">
            <v>重工业</v>
          </cell>
          <cell r="B248" t="str">
            <v>小型</v>
          </cell>
          <cell r="C248" t="str">
            <v>港澳台商投资企业</v>
          </cell>
          <cell r="D248">
            <v>69349.19</v>
          </cell>
        </row>
        <row r="249">
          <cell r="A249" t="str">
            <v>重工业</v>
          </cell>
          <cell r="B249" t="str">
            <v>中型</v>
          </cell>
          <cell r="C249" t="str">
            <v>国有及国有控股企业</v>
          </cell>
          <cell r="D249">
            <v>99499.65</v>
          </cell>
        </row>
        <row r="250">
          <cell r="A250" t="str">
            <v>轻工业</v>
          </cell>
          <cell r="B250" t="str">
            <v>大型</v>
          </cell>
          <cell r="C250" t="str">
            <v>股份有限公司</v>
          </cell>
          <cell r="D250">
            <v>7161.55</v>
          </cell>
        </row>
        <row r="251">
          <cell r="A251" t="str">
            <v>轻工业</v>
          </cell>
          <cell r="B251" t="str">
            <v>中型</v>
          </cell>
          <cell r="C251" t="str">
            <v>集体企业</v>
          </cell>
          <cell r="D251">
            <v>54678.13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第1题"/>
      <sheetName val="第2题"/>
      <sheetName val="第2题答案"/>
      <sheetName val="第3题"/>
      <sheetName val="第3题答案"/>
      <sheetName val="第4题"/>
      <sheetName val="第4题答案"/>
      <sheetName val="第5题"/>
      <sheetName val="第6题"/>
      <sheetName val="第6题答案"/>
      <sheetName val="第7题"/>
      <sheetName val="第7题解答"/>
      <sheetName val="第8题"/>
      <sheetName val="第8题答案"/>
      <sheetName val="第9题"/>
      <sheetName val="第9题解答"/>
    </sheetNames>
    <sheetDataSet>
      <sheetData sheetId="0"/>
      <sheetData sheetId="1">
        <row r="1">
          <cell r="A1" t="str">
            <v>订购日期</v>
          </cell>
          <cell r="B1" t="str">
            <v>产品名称</v>
          </cell>
          <cell r="C1" t="str">
            <v>销售数量</v>
          </cell>
          <cell r="D1" t="str">
            <v>销售金额</v>
          </cell>
        </row>
        <row r="2">
          <cell r="A2">
            <v>35254</v>
          </cell>
          <cell r="B2" t="str">
            <v>糯米</v>
          </cell>
          <cell r="C2">
            <v>6</v>
          </cell>
          <cell r="D2">
            <v>100.8</v>
          </cell>
        </row>
        <row r="3">
          <cell r="A3">
            <v>35465</v>
          </cell>
          <cell r="B3" t="str">
            <v>糯米</v>
          </cell>
          <cell r="C3">
            <v>12</v>
          </cell>
          <cell r="D3">
            <v>201.6</v>
          </cell>
        </row>
        <row r="4">
          <cell r="A4">
            <v>35580</v>
          </cell>
          <cell r="B4" t="str">
            <v>糯米</v>
          </cell>
          <cell r="C4">
            <v>24</v>
          </cell>
          <cell r="D4">
            <v>504</v>
          </cell>
        </row>
        <row r="5">
          <cell r="A5">
            <v>35629</v>
          </cell>
          <cell r="B5" t="str">
            <v>糯米</v>
          </cell>
          <cell r="C5">
            <v>48</v>
          </cell>
          <cell r="D5">
            <v>1008</v>
          </cell>
        </row>
        <row r="6">
          <cell r="A6">
            <v>35646</v>
          </cell>
          <cell r="B6" t="str">
            <v>糯米</v>
          </cell>
          <cell r="C6">
            <v>40</v>
          </cell>
          <cell r="D6">
            <v>840</v>
          </cell>
        </row>
        <row r="7">
          <cell r="A7">
            <v>35660</v>
          </cell>
          <cell r="B7" t="str">
            <v>糯米</v>
          </cell>
          <cell r="C7">
            <v>40</v>
          </cell>
          <cell r="D7">
            <v>840</v>
          </cell>
        </row>
        <row r="8">
          <cell r="A8">
            <v>35670</v>
          </cell>
          <cell r="B8" t="str">
            <v>糯米</v>
          </cell>
          <cell r="C8">
            <v>15</v>
          </cell>
          <cell r="D8">
            <v>315</v>
          </cell>
        </row>
        <row r="9">
          <cell r="A9">
            <v>35674</v>
          </cell>
          <cell r="B9" t="str">
            <v>糯米</v>
          </cell>
          <cell r="C9">
            <v>20</v>
          </cell>
          <cell r="D9">
            <v>420</v>
          </cell>
        </row>
        <row r="10">
          <cell r="A10">
            <v>35767</v>
          </cell>
          <cell r="B10" t="str">
            <v>糯米</v>
          </cell>
          <cell r="C10">
            <v>6</v>
          </cell>
          <cell r="D10">
            <v>126</v>
          </cell>
        </row>
        <row r="11">
          <cell r="A11">
            <v>35772</v>
          </cell>
          <cell r="B11" t="str">
            <v>糯米</v>
          </cell>
          <cell r="C11">
            <v>4</v>
          </cell>
          <cell r="D11">
            <v>84</v>
          </cell>
        </row>
        <row r="12">
          <cell r="A12">
            <v>35811</v>
          </cell>
          <cell r="B12" t="str">
            <v>糯米</v>
          </cell>
          <cell r="C12">
            <v>52</v>
          </cell>
          <cell r="D12">
            <v>1092</v>
          </cell>
        </row>
        <row r="13">
          <cell r="A13">
            <v>35816</v>
          </cell>
          <cell r="B13" t="str">
            <v>糯米</v>
          </cell>
          <cell r="C13">
            <v>35</v>
          </cell>
          <cell r="D13">
            <v>735</v>
          </cell>
        </row>
        <row r="14">
          <cell r="A14">
            <v>35865</v>
          </cell>
          <cell r="B14" t="str">
            <v>糯米</v>
          </cell>
          <cell r="C14">
            <v>21</v>
          </cell>
          <cell r="D14">
            <v>441</v>
          </cell>
        </row>
        <row r="15">
          <cell r="A15">
            <v>35891</v>
          </cell>
          <cell r="B15" t="str">
            <v>糯米</v>
          </cell>
          <cell r="C15">
            <v>25</v>
          </cell>
          <cell r="D15">
            <v>525</v>
          </cell>
        </row>
        <row r="16">
          <cell r="A16">
            <v>35362</v>
          </cell>
          <cell r="B16" t="str">
            <v>燕麦</v>
          </cell>
          <cell r="C16">
            <v>40</v>
          </cell>
          <cell r="D16">
            <v>288</v>
          </cell>
        </row>
        <row r="17">
          <cell r="A17">
            <v>35376</v>
          </cell>
          <cell r="B17" t="str">
            <v>燕麦</v>
          </cell>
          <cell r="C17">
            <v>25</v>
          </cell>
          <cell r="D17">
            <v>180</v>
          </cell>
        </row>
        <row r="18">
          <cell r="A18">
            <v>35426</v>
          </cell>
          <cell r="B18" t="str">
            <v>燕麦</v>
          </cell>
          <cell r="C18">
            <v>40</v>
          </cell>
          <cell r="D18">
            <v>288</v>
          </cell>
        </row>
        <row r="19">
          <cell r="A19">
            <v>35432</v>
          </cell>
          <cell r="B19" t="str">
            <v>燕麦</v>
          </cell>
          <cell r="C19">
            <v>60</v>
          </cell>
          <cell r="D19">
            <v>432</v>
          </cell>
        </row>
        <row r="20">
          <cell r="A20">
            <v>35492</v>
          </cell>
          <cell r="B20" t="str">
            <v>燕麦</v>
          </cell>
          <cell r="C20">
            <v>21</v>
          </cell>
          <cell r="D20">
            <v>151.19999999999999</v>
          </cell>
        </row>
        <row r="21">
          <cell r="A21">
            <v>35500</v>
          </cell>
          <cell r="B21" t="str">
            <v>燕麦</v>
          </cell>
          <cell r="C21">
            <v>15</v>
          </cell>
          <cell r="D21">
            <v>108</v>
          </cell>
        </row>
        <row r="22">
          <cell r="A22">
            <v>35523</v>
          </cell>
          <cell r="B22" t="str">
            <v>燕麦</v>
          </cell>
          <cell r="C22">
            <v>10</v>
          </cell>
          <cell r="D22">
            <v>72</v>
          </cell>
        </row>
        <row r="23">
          <cell r="A23">
            <v>35571</v>
          </cell>
          <cell r="B23" t="str">
            <v>燕麦</v>
          </cell>
          <cell r="C23">
            <v>70</v>
          </cell>
          <cell r="D23">
            <v>630</v>
          </cell>
        </row>
        <row r="24">
          <cell r="A24">
            <v>35580</v>
          </cell>
          <cell r="B24" t="str">
            <v>燕麦</v>
          </cell>
          <cell r="C24">
            <v>20</v>
          </cell>
          <cell r="D24">
            <v>180</v>
          </cell>
        </row>
        <row r="25">
          <cell r="A25">
            <v>35647</v>
          </cell>
          <cell r="B25" t="str">
            <v>燕麦</v>
          </cell>
          <cell r="C25">
            <v>10</v>
          </cell>
          <cell r="D25">
            <v>90</v>
          </cell>
        </row>
        <row r="26">
          <cell r="A26">
            <v>35689</v>
          </cell>
          <cell r="B26" t="str">
            <v>燕麦</v>
          </cell>
          <cell r="C26">
            <v>32</v>
          </cell>
          <cell r="D26">
            <v>288</v>
          </cell>
        </row>
        <row r="27">
          <cell r="A27">
            <v>35691</v>
          </cell>
          <cell r="B27" t="str">
            <v>燕麦</v>
          </cell>
          <cell r="C27">
            <v>5</v>
          </cell>
          <cell r="D27">
            <v>45</v>
          </cell>
        </row>
        <row r="28">
          <cell r="A28">
            <v>35754</v>
          </cell>
          <cell r="B28" t="str">
            <v>燕麦</v>
          </cell>
          <cell r="C28">
            <v>44</v>
          </cell>
          <cell r="D28">
            <v>396</v>
          </cell>
        </row>
        <row r="29">
          <cell r="A29">
            <v>35797</v>
          </cell>
          <cell r="B29" t="str">
            <v>燕麦</v>
          </cell>
          <cell r="C29">
            <v>18</v>
          </cell>
          <cell r="D29">
            <v>162</v>
          </cell>
        </row>
        <row r="30">
          <cell r="A30">
            <v>35816</v>
          </cell>
          <cell r="B30" t="str">
            <v>燕麦</v>
          </cell>
          <cell r="C30">
            <v>70</v>
          </cell>
          <cell r="D30">
            <v>630</v>
          </cell>
        </row>
        <row r="31">
          <cell r="A31">
            <v>35830</v>
          </cell>
          <cell r="B31" t="str">
            <v>燕麦</v>
          </cell>
          <cell r="C31">
            <v>50</v>
          </cell>
          <cell r="D31">
            <v>450</v>
          </cell>
        </row>
        <row r="32">
          <cell r="A32">
            <v>35836</v>
          </cell>
          <cell r="B32" t="str">
            <v>燕麦</v>
          </cell>
          <cell r="C32">
            <v>30</v>
          </cell>
          <cell r="D32">
            <v>270</v>
          </cell>
        </row>
        <row r="33">
          <cell r="A33">
            <v>35863</v>
          </cell>
          <cell r="B33" t="str">
            <v>燕麦</v>
          </cell>
          <cell r="C33">
            <v>8</v>
          </cell>
          <cell r="D33">
            <v>72</v>
          </cell>
        </row>
        <row r="34">
          <cell r="A34">
            <v>35894</v>
          </cell>
          <cell r="B34" t="str">
            <v>燕麦</v>
          </cell>
          <cell r="C34">
            <v>10</v>
          </cell>
          <cell r="D34">
            <v>90</v>
          </cell>
        </row>
        <row r="35">
          <cell r="A35">
            <v>35921</v>
          </cell>
          <cell r="B35" t="str">
            <v>燕麦</v>
          </cell>
          <cell r="C35">
            <v>2</v>
          </cell>
          <cell r="D35">
            <v>18</v>
          </cell>
        </row>
        <row r="36">
          <cell r="A36">
            <v>35250</v>
          </cell>
          <cell r="B36" t="str">
            <v>糙米</v>
          </cell>
          <cell r="C36">
            <v>10</v>
          </cell>
          <cell r="D36">
            <v>98</v>
          </cell>
        </row>
        <row r="37">
          <cell r="A37">
            <v>35327</v>
          </cell>
          <cell r="B37" t="str">
            <v>糙米</v>
          </cell>
          <cell r="C37">
            <v>2</v>
          </cell>
          <cell r="D37">
            <v>22.4</v>
          </cell>
        </row>
        <row r="38">
          <cell r="A38">
            <v>35328</v>
          </cell>
          <cell r="B38" t="str">
            <v>糙米</v>
          </cell>
          <cell r="C38">
            <v>6</v>
          </cell>
          <cell r="D38">
            <v>67.2</v>
          </cell>
        </row>
        <row r="39">
          <cell r="A39">
            <v>35355</v>
          </cell>
          <cell r="B39" t="str">
            <v>糙米</v>
          </cell>
          <cell r="C39">
            <v>10</v>
          </cell>
          <cell r="D39">
            <v>112</v>
          </cell>
        </row>
        <row r="40">
          <cell r="A40">
            <v>35373</v>
          </cell>
          <cell r="B40" t="str">
            <v>糙米</v>
          </cell>
          <cell r="C40">
            <v>9</v>
          </cell>
          <cell r="D40">
            <v>100.8</v>
          </cell>
        </row>
        <row r="41">
          <cell r="A41">
            <v>35433</v>
          </cell>
          <cell r="B41" t="str">
            <v>糙米</v>
          </cell>
          <cell r="C41">
            <v>40</v>
          </cell>
          <cell r="D41">
            <v>448</v>
          </cell>
        </row>
        <row r="42">
          <cell r="A42">
            <v>35493</v>
          </cell>
          <cell r="B42" t="str">
            <v>糙米</v>
          </cell>
          <cell r="C42">
            <v>50</v>
          </cell>
          <cell r="D42">
            <v>560</v>
          </cell>
        </row>
        <row r="43">
          <cell r="A43">
            <v>35521</v>
          </cell>
          <cell r="B43" t="str">
            <v>糙米</v>
          </cell>
          <cell r="C43">
            <v>20</v>
          </cell>
          <cell r="D43">
            <v>224</v>
          </cell>
        </row>
        <row r="44">
          <cell r="A44">
            <v>35527</v>
          </cell>
          <cell r="B44" t="str">
            <v>糙米</v>
          </cell>
          <cell r="C44">
            <v>30</v>
          </cell>
          <cell r="D44">
            <v>420</v>
          </cell>
        </row>
        <row r="45">
          <cell r="A45">
            <v>35544</v>
          </cell>
          <cell r="B45" t="str">
            <v>糙米</v>
          </cell>
          <cell r="C45">
            <v>20</v>
          </cell>
          <cell r="D45">
            <v>280</v>
          </cell>
        </row>
        <row r="46">
          <cell r="A46">
            <v>35598</v>
          </cell>
          <cell r="B46" t="str">
            <v>糙米</v>
          </cell>
          <cell r="C46">
            <v>28</v>
          </cell>
          <cell r="D46">
            <v>392</v>
          </cell>
        </row>
        <row r="47">
          <cell r="A47">
            <v>35614</v>
          </cell>
          <cell r="B47" t="str">
            <v>糙米</v>
          </cell>
          <cell r="C47">
            <v>100</v>
          </cell>
          <cell r="D47">
            <v>1400</v>
          </cell>
        </row>
        <row r="48">
          <cell r="A48">
            <v>35650</v>
          </cell>
          <cell r="B48" t="str">
            <v>糙米</v>
          </cell>
          <cell r="C48">
            <v>5</v>
          </cell>
          <cell r="D48">
            <v>70</v>
          </cell>
        </row>
        <row r="49">
          <cell r="A49">
            <v>35674</v>
          </cell>
          <cell r="B49" t="str">
            <v>糙米</v>
          </cell>
          <cell r="C49">
            <v>20</v>
          </cell>
          <cell r="D49">
            <v>280</v>
          </cell>
        </row>
        <row r="50">
          <cell r="A50">
            <v>35683</v>
          </cell>
          <cell r="B50" t="str">
            <v>糙米</v>
          </cell>
          <cell r="C50">
            <v>30</v>
          </cell>
          <cell r="D50">
            <v>420</v>
          </cell>
        </row>
        <row r="51">
          <cell r="A51">
            <v>35691</v>
          </cell>
          <cell r="B51" t="str">
            <v>糙米</v>
          </cell>
          <cell r="C51">
            <v>6</v>
          </cell>
          <cell r="D51">
            <v>84</v>
          </cell>
        </row>
        <row r="52">
          <cell r="A52">
            <v>35697</v>
          </cell>
          <cell r="B52" t="str">
            <v>糙米</v>
          </cell>
          <cell r="C52">
            <v>40</v>
          </cell>
          <cell r="D52">
            <v>560</v>
          </cell>
        </row>
        <row r="53">
          <cell r="A53">
            <v>35753</v>
          </cell>
          <cell r="B53" t="str">
            <v>糙米</v>
          </cell>
          <cell r="C53">
            <v>28</v>
          </cell>
          <cell r="D53">
            <v>392</v>
          </cell>
        </row>
        <row r="54">
          <cell r="A54">
            <v>35769</v>
          </cell>
          <cell r="B54" t="str">
            <v>糙米</v>
          </cell>
          <cell r="C54">
            <v>2</v>
          </cell>
          <cell r="D54">
            <v>28</v>
          </cell>
        </row>
        <row r="55">
          <cell r="A55">
            <v>35779</v>
          </cell>
          <cell r="B55" t="str">
            <v>糙米</v>
          </cell>
          <cell r="C55">
            <v>12</v>
          </cell>
          <cell r="D55">
            <v>168</v>
          </cell>
        </row>
        <row r="56">
          <cell r="A56">
            <v>35779</v>
          </cell>
          <cell r="B56" t="str">
            <v>糙米</v>
          </cell>
          <cell r="C56">
            <v>20</v>
          </cell>
          <cell r="D56">
            <v>280</v>
          </cell>
        </row>
        <row r="57">
          <cell r="A57">
            <v>35816</v>
          </cell>
          <cell r="B57" t="str">
            <v>糙米</v>
          </cell>
          <cell r="C57">
            <v>42</v>
          </cell>
          <cell r="D57">
            <v>588</v>
          </cell>
        </row>
        <row r="58">
          <cell r="A58">
            <v>35823</v>
          </cell>
          <cell r="B58" t="str">
            <v>糙米</v>
          </cell>
          <cell r="C58">
            <v>20</v>
          </cell>
          <cell r="D58">
            <v>280</v>
          </cell>
        </row>
        <row r="59">
          <cell r="A59">
            <v>35837</v>
          </cell>
          <cell r="B59" t="str">
            <v>糙米</v>
          </cell>
          <cell r="C59">
            <v>25</v>
          </cell>
          <cell r="D59">
            <v>350</v>
          </cell>
        </row>
        <row r="60">
          <cell r="A60">
            <v>35857</v>
          </cell>
          <cell r="B60" t="str">
            <v>糙米</v>
          </cell>
          <cell r="C60">
            <v>10</v>
          </cell>
          <cell r="D60">
            <v>140</v>
          </cell>
        </row>
        <row r="61">
          <cell r="A61">
            <v>35887</v>
          </cell>
          <cell r="B61" t="str">
            <v>糙米</v>
          </cell>
          <cell r="C61">
            <v>40</v>
          </cell>
          <cell r="D61">
            <v>560</v>
          </cell>
        </row>
        <row r="62">
          <cell r="A62">
            <v>35891</v>
          </cell>
          <cell r="B62" t="str">
            <v>糙米</v>
          </cell>
          <cell r="C62">
            <v>24</v>
          </cell>
          <cell r="D62">
            <v>336</v>
          </cell>
        </row>
        <row r="63">
          <cell r="A63">
            <v>35893</v>
          </cell>
          <cell r="B63" t="str">
            <v>糙米</v>
          </cell>
          <cell r="C63">
            <v>14</v>
          </cell>
          <cell r="D63">
            <v>196</v>
          </cell>
        </row>
        <row r="64">
          <cell r="A64">
            <v>35894</v>
          </cell>
          <cell r="B64" t="str">
            <v>糙米</v>
          </cell>
          <cell r="C64">
            <v>4</v>
          </cell>
          <cell r="D64">
            <v>56</v>
          </cell>
        </row>
        <row r="65">
          <cell r="A65">
            <v>35905</v>
          </cell>
          <cell r="B65" t="str">
            <v>糙米</v>
          </cell>
          <cell r="C65">
            <v>30</v>
          </cell>
          <cell r="D65">
            <v>420</v>
          </cell>
        </row>
        <row r="66">
          <cell r="A66">
            <v>35342</v>
          </cell>
          <cell r="B66" t="str">
            <v>三合一麦片</v>
          </cell>
          <cell r="C66">
            <v>20</v>
          </cell>
          <cell r="D66">
            <v>112</v>
          </cell>
        </row>
        <row r="67">
          <cell r="A67">
            <v>35359</v>
          </cell>
          <cell r="B67" t="str">
            <v>三合一麦片</v>
          </cell>
          <cell r="C67">
            <v>8</v>
          </cell>
          <cell r="D67">
            <v>44.8</v>
          </cell>
        </row>
        <row r="68">
          <cell r="A68">
            <v>35418</v>
          </cell>
          <cell r="B68" t="str">
            <v>三合一麦片</v>
          </cell>
          <cell r="C68">
            <v>20</v>
          </cell>
          <cell r="D68">
            <v>112</v>
          </cell>
        </row>
        <row r="69">
          <cell r="A69">
            <v>35475</v>
          </cell>
          <cell r="B69" t="str">
            <v>三合一麦片</v>
          </cell>
          <cell r="C69">
            <v>15</v>
          </cell>
          <cell r="D69">
            <v>84</v>
          </cell>
        </row>
        <row r="70">
          <cell r="A70">
            <v>35479</v>
          </cell>
          <cell r="B70" t="str">
            <v>三合一麦片</v>
          </cell>
          <cell r="C70">
            <v>20</v>
          </cell>
          <cell r="D70">
            <v>112</v>
          </cell>
        </row>
        <row r="71">
          <cell r="A71">
            <v>35544</v>
          </cell>
          <cell r="B71" t="str">
            <v>三合一麦片</v>
          </cell>
          <cell r="C71">
            <v>6</v>
          </cell>
          <cell r="D71">
            <v>42</v>
          </cell>
        </row>
        <row r="72">
          <cell r="A72">
            <v>35585</v>
          </cell>
          <cell r="B72" t="str">
            <v>三合一麦片</v>
          </cell>
          <cell r="C72">
            <v>30</v>
          </cell>
          <cell r="D72">
            <v>210</v>
          </cell>
        </row>
        <row r="73">
          <cell r="A73">
            <v>35591</v>
          </cell>
          <cell r="B73" t="str">
            <v>三合一麦片</v>
          </cell>
          <cell r="C73">
            <v>70</v>
          </cell>
          <cell r="D73">
            <v>490</v>
          </cell>
        </row>
        <row r="74">
          <cell r="A74">
            <v>35613</v>
          </cell>
          <cell r="B74" t="str">
            <v>三合一麦片</v>
          </cell>
          <cell r="C74">
            <v>4</v>
          </cell>
          <cell r="D74">
            <v>28</v>
          </cell>
        </row>
        <row r="75">
          <cell r="A75">
            <v>35620</v>
          </cell>
          <cell r="B75" t="str">
            <v>三合一麦片</v>
          </cell>
          <cell r="C75">
            <v>24</v>
          </cell>
          <cell r="D75">
            <v>168</v>
          </cell>
        </row>
        <row r="76">
          <cell r="A76">
            <v>35647</v>
          </cell>
          <cell r="B76" t="str">
            <v>三合一麦片</v>
          </cell>
          <cell r="C76">
            <v>5</v>
          </cell>
          <cell r="D76">
            <v>35</v>
          </cell>
        </row>
        <row r="77">
          <cell r="A77">
            <v>35699</v>
          </cell>
          <cell r="B77" t="str">
            <v>三合一麦片</v>
          </cell>
          <cell r="C77">
            <v>9</v>
          </cell>
          <cell r="D77">
            <v>63</v>
          </cell>
        </row>
        <row r="78">
          <cell r="A78">
            <v>35734</v>
          </cell>
          <cell r="B78" t="str">
            <v>三合一麦片</v>
          </cell>
          <cell r="C78">
            <v>4</v>
          </cell>
          <cell r="D78">
            <v>28</v>
          </cell>
        </row>
        <row r="79">
          <cell r="A79">
            <v>35741</v>
          </cell>
          <cell r="B79" t="str">
            <v>三合一麦片</v>
          </cell>
          <cell r="C79">
            <v>25</v>
          </cell>
          <cell r="D79">
            <v>175</v>
          </cell>
        </row>
        <row r="80">
          <cell r="A80">
            <v>35746</v>
          </cell>
          <cell r="B80" t="str">
            <v>三合一麦片</v>
          </cell>
          <cell r="C80">
            <v>18</v>
          </cell>
          <cell r="D80">
            <v>126</v>
          </cell>
        </row>
        <row r="81">
          <cell r="A81">
            <v>35762</v>
          </cell>
          <cell r="B81" t="str">
            <v>三合一麦片</v>
          </cell>
          <cell r="C81">
            <v>60</v>
          </cell>
          <cell r="D81">
            <v>420</v>
          </cell>
        </row>
        <row r="82">
          <cell r="A82">
            <v>35772</v>
          </cell>
          <cell r="B82" t="str">
            <v>三合一麦片</v>
          </cell>
          <cell r="C82">
            <v>15</v>
          </cell>
          <cell r="D82">
            <v>105</v>
          </cell>
        </row>
        <row r="83">
          <cell r="A83">
            <v>35788</v>
          </cell>
          <cell r="B83" t="str">
            <v>三合一麦片</v>
          </cell>
          <cell r="C83">
            <v>8</v>
          </cell>
          <cell r="D83">
            <v>56</v>
          </cell>
        </row>
        <row r="84">
          <cell r="A84">
            <v>35796</v>
          </cell>
          <cell r="B84" t="str">
            <v>三合一麦片</v>
          </cell>
          <cell r="C84">
            <v>20</v>
          </cell>
          <cell r="D84">
            <v>140</v>
          </cell>
        </row>
        <row r="85">
          <cell r="A85">
            <v>35825</v>
          </cell>
          <cell r="B85" t="str">
            <v>三合一麦片</v>
          </cell>
          <cell r="C85">
            <v>8</v>
          </cell>
          <cell r="D85">
            <v>56</v>
          </cell>
        </row>
        <row r="86">
          <cell r="A86">
            <v>35852</v>
          </cell>
          <cell r="B86" t="str">
            <v>三合一麦片</v>
          </cell>
          <cell r="C86">
            <v>14</v>
          </cell>
          <cell r="D86">
            <v>98</v>
          </cell>
        </row>
        <row r="87">
          <cell r="A87">
            <v>35858</v>
          </cell>
          <cell r="B87" t="str">
            <v>三合一麦片</v>
          </cell>
          <cell r="C87">
            <v>12</v>
          </cell>
          <cell r="D87">
            <v>84</v>
          </cell>
        </row>
        <row r="88">
          <cell r="A88">
            <v>35859</v>
          </cell>
          <cell r="B88" t="str">
            <v>三合一麦片</v>
          </cell>
          <cell r="C88">
            <v>5</v>
          </cell>
          <cell r="D88">
            <v>35</v>
          </cell>
        </row>
        <row r="89">
          <cell r="A89">
            <v>35873</v>
          </cell>
          <cell r="B89" t="str">
            <v>三合一麦片</v>
          </cell>
          <cell r="C89">
            <v>6</v>
          </cell>
          <cell r="D89">
            <v>42</v>
          </cell>
        </row>
        <row r="90">
          <cell r="A90">
            <v>35878</v>
          </cell>
          <cell r="B90" t="str">
            <v>三合一麦片</v>
          </cell>
          <cell r="C90">
            <v>40</v>
          </cell>
          <cell r="D90">
            <v>280</v>
          </cell>
        </row>
        <row r="91">
          <cell r="A91">
            <v>35888</v>
          </cell>
          <cell r="B91" t="str">
            <v>三合一麦片</v>
          </cell>
          <cell r="C91">
            <v>20</v>
          </cell>
          <cell r="D91">
            <v>140</v>
          </cell>
        </row>
        <row r="92">
          <cell r="A92">
            <v>35891</v>
          </cell>
          <cell r="B92" t="str">
            <v>三合一麦片</v>
          </cell>
          <cell r="C92">
            <v>10</v>
          </cell>
          <cell r="D92">
            <v>70</v>
          </cell>
        </row>
        <row r="93">
          <cell r="A93">
            <v>35906</v>
          </cell>
          <cell r="B93" t="str">
            <v>三合一麦片</v>
          </cell>
          <cell r="C93">
            <v>2</v>
          </cell>
          <cell r="D93">
            <v>14</v>
          </cell>
        </row>
        <row r="94">
          <cell r="A94">
            <v>35921</v>
          </cell>
          <cell r="B94" t="str">
            <v>三合一麦片</v>
          </cell>
          <cell r="C94">
            <v>2</v>
          </cell>
          <cell r="D94">
            <v>14</v>
          </cell>
        </row>
        <row r="95">
          <cell r="A95">
            <v>35268</v>
          </cell>
          <cell r="B95" t="str">
            <v>白米</v>
          </cell>
          <cell r="C95">
            <v>2</v>
          </cell>
          <cell r="D95">
            <v>60.8</v>
          </cell>
        </row>
        <row r="96">
          <cell r="A96">
            <v>35310</v>
          </cell>
          <cell r="B96" t="str">
            <v>白米</v>
          </cell>
          <cell r="C96">
            <v>4</v>
          </cell>
          <cell r="D96">
            <v>121.6</v>
          </cell>
        </row>
        <row r="97">
          <cell r="A97">
            <v>35317</v>
          </cell>
          <cell r="B97" t="str">
            <v>白米</v>
          </cell>
          <cell r="C97">
            <v>20</v>
          </cell>
          <cell r="D97">
            <v>608</v>
          </cell>
        </row>
        <row r="98">
          <cell r="A98">
            <v>35353</v>
          </cell>
          <cell r="B98" t="str">
            <v>白米</v>
          </cell>
          <cell r="C98">
            <v>12</v>
          </cell>
          <cell r="D98">
            <v>364.8</v>
          </cell>
        </row>
        <row r="99">
          <cell r="A99">
            <v>35374</v>
          </cell>
          <cell r="B99" t="str">
            <v>白米</v>
          </cell>
          <cell r="C99">
            <v>20</v>
          </cell>
          <cell r="D99">
            <v>608</v>
          </cell>
        </row>
        <row r="100">
          <cell r="A100">
            <v>35401</v>
          </cell>
          <cell r="B100" t="str">
            <v>白米</v>
          </cell>
          <cell r="C100">
            <v>18</v>
          </cell>
          <cell r="D100">
            <v>547.20000000000005</v>
          </cell>
        </row>
        <row r="101">
          <cell r="A101">
            <v>35415</v>
          </cell>
          <cell r="B101" t="str">
            <v>白米</v>
          </cell>
          <cell r="C101">
            <v>20</v>
          </cell>
          <cell r="D101">
            <v>608</v>
          </cell>
        </row>
        <row r="102">
          <cell r="A102">
            <v>35431</v>
          </cell>
          <cell r="B102" t="str">
            <v>白米</v>
          </cell>
          <cell r="C102">
            <v>70</v>
          </cell>
          <cell r="D102">
            <v>2128</v>
          </cell>
        </row>
        <row r="103">
          <cell r="A103">
            <v>35457</v>
          </cell>
          <cell r="B103" t="str">
            <v>白米</v>
          </cell>
          <cell r="C103">
            <v>5</v>
          </cell>
          <cell r="D103">
            <v>152</v>
          </cell>
        </row>
        <row r="104">
          <cell r="A104">
            <v>35460</v>
          </cell>
          <cell r="B104" t="str">
            <v>白米</v>
          </cell>
          <cell r="C104">
            <v>30</v>
          </cell>
          <cell r="D104">
            <v>912</v>
          </cell>
        </row>
        <row r="105">
          <cell r="A105">
            <v>35464</v>
          </cell>
          <cell r="B105" t="str">
            <v>白米</v>
          </cell>
          <cell r="C105">
            <v>28</v>
          </cell>
          <cell r="D105">
            <v>851.2</v>
          </cell>
        </row>
        <row r="106">
          <cell r="A106">
            <v>35466</v>
          </cell>
          <cell r="B106" t="str">
            <v>白米</v>
          </cell>
          <cell r="C106">
            <v>40</v>
          </cell>
          <cell r="D106">
            <v>1216</v>
          </cell>
        </row>
        <row r="107">
          <cell r="A107">
            <v>35487</v>
          </cell>
          <cell r="B107" t="str">
            <v>白米</v>
          </cell>
          <cell r="C107">
            <v>15</v>
          </cell>
          <cell r="D107">
            <v>456</v>
          </cell>
        </row>
        <row r="108">
          <cell r="A108">
            <v>35493</v>
          </cell>
          <cell r="B108" t="str">
            <v>白米</v>
          </cell>
          <cell r="C108">
            <v>30</v>
          </cell>
          <cell r="D108">
            <v>912</v>
          </cell>
        </row>
        <row r="109">
          <cell r="A109">
            <v>35500</v>
          </cell>
          <cell r="B109" t="str">
            <v>白米</v>
          </cell>
          <cell r="C109">
            <v>20</v>
          </cell>
          <cell r="D109">
            <v>608</v>
          </cell>
        </row>
        <row r="110">
          <cell r="A110">
            <v>35522</v>
          </cell>
          <cell r="B110" t="str">
            <v>白米</v>
          </cell>
          <cell r="C110">
            <v>30</v>
          </cell>
          <cell r="D110">
            <v>912</v>
          </cell>
        </row>
        <row r="111">
          <cell r="A111">
            <v>35524</v>
          </cell>
          <cell r="B111" t="str">
            <v>白米</v>
          </cell>
          <cell r="C111">
            <v>14</v>
          </cell>
          <cell r="D111">
            <v>425.6</v>
          </cell>
        </row>
        <row r="112">
          <cell r="A112">
            <v>35542</v>
          </cell>
          <cell r="B112" t="str">
            <v>白米</v>
          </cell>
          <cell r="C112">
            <v>70</v>
          </cell>
          <cell r="D112">
            <v>2660</v>
          </cell>
        </row>
        <row r="113">
          <cell r="A113">
            <v>35548</v>
          </cell>
          <cell r="B113" t="str">
            <v>白米</v>
          </cell>
          <cell r="C113">
            <v>40</v>
          </cell>
          <cell r="D113">
            <v>1520</v>
          </cell>
        </row>
        <row r="114">
          <cell r="A114">
            <v>35555</v>
          </cell>
          <cell r="B114" t="str">
            <v>白米</v>
          </cell>
          <cell r="C114">
            <v>30</v>
          </cell>
          <cell r="D114">
            <v>1140</v>
          </cell>
        </row>
        <row r="115">
          <cell r="A115">
            <v>35583</v>
          </cell>
          <cell r="B115" t="str">
            <v>白米</v>
          </cell>
          <cell r="C115">
            <v>40</v>
          </cell>
          <cell r="D115">
            <v>1520</v>
          </cell>
        </row>
        <row r="116">
          <cell r="A116">
            <v>35598</v>
          </cell>
          <cell r="B116" t="str">
            <v>白米</v>
          </cell>
          <cell r="C116">
            <v>60</v>
          </cell>
          <cell r="D116">
            <v>2280</v>
          </cell>
        </row>
        <row r="117">
          <cell r="A117">
            <v>35622</v>
          </cell>
          <cell r="B117" t="str">
            <v>白米</v>
          </cell>
          <cell r="C117">
            <v>5</v>
          </cell>
          <cell r="D117">
            <v>190</v>
          </cell>
        </row>
        <row r="118">
          <cell r="A118">
            <v>35634</v>
          </cell>
          <cell r="B118" t="str">
            <v>白米</v>
          </cell>
          <cell r="C118">
            <v>28</v>
          </cell>
          <cell r="D118">
            <v>1064</v>
          </cell>
        </row>
        <row r="119">
          <cell r="A119">
            <v>35642</v>
          </cell>
          <cell r="B119" t="str">
            <v>白米</v>
          </cell>
          <cell r="C119">
            <v>14</v>
          </cell>
          <cell r="D119">
            <v>532</v>
          </cell>
        </row>
        <row r="120">
          <cell r="A120">
            <v>35643</v>
          </cell>
          <cell r="B120" t="str">
            <v>白米</v>
          </cell>
          <cell r="C120">
            <v>20</v>
          </cell>
          <cell r="D120">
            <v>760</v>
          </cell>
        </row>
        <row r="121">
          <cell r="A121">
            <v>35661</v>
          </cell>
          <cell r="B121" t="str">
            <v>白米</v>
          </cell>
          <cell r="C121">
            <v>60</v>
          </cell>
          <cell r="D121">
            <v>2280</v>
          </cell>
        </row>
        <row r="122">
          <cell r="A122">
            <v>35677</v>
          </cell>
          <cell r="B122" t="str">
            <v>白米</v>
          </cell>
          <cell r="C122">
            <v>45</v>
          </cell>
          <cell r="D122">
            <v>1710</v>
          </cell>
        </row>
        <row r="123">
          <cell r="A123">
            <v>35683</v>
          </cell>
          <cell r="B123" t="str">
            <v>白米</v>
          </cell>
          <cell r="C123">
            <v>12</v>
          </cell>
          <cell r="D123">
            <v>456</v>
          </cell>
        </row>
        <row r="124">
          <cell r="A124">
            <v>35705</v>
          </cell>
          <cell r="B124" t="str">
            <v>白米</v>
          </cell>
          <cell r="C124">
            <v>20</v>
          </cell>
          <cell r="D124">
            <v>760</v>
          </cell>
        </row>
        <row r="125">
          <cell r="A125">
            <v>35724</v>
          </cell>
          <cell r="B125" t="str">
            <v>白米</v>
          </cell>
          <cell r="C125">
            <v>30</v>
          </cell>
          <cell r="D125">
            <v>1140</v>
          </cell>
        </row>
        <row r="126">
          <cell r="A126">
            <v>35725</v>
          </cell>
          <cell r="B126" t="str">
            <v>白米</v>
          </cell>
          <cell r="C126">
            <v>18</v>
          </cell>
          <cell r="D126">
            <v>684</v>
          </cell>
        </row>
        <row r="127">
          <cell r="A127">
            <v>35737</v>
          </cell>
          <cell r="B127" t="str">
            <v>白米</v>
          </cell>
          <cell r="C127">
            <v>10</v>
          </cell>
          <cell r="D127">
            <v>380</v>
          </cell>
        </row>
        <row r="128">
          <cell r="A128">
            <v>35747</v>
          </cell>
          <cell r="B128" t="str">
            <v>白米</v>
          </cell>
          <cell r="C128">
            <v>14</v>
          </cell>
          <cell r="D128">
            <v>532</v>
          </cell>
        </row>
        <row r="129">
          <cell r="A129">
            <v>35754</v>
          </cell>
          <cell r="B129" t="str">
            <v>白米</v>
          </cell>
          <cell r="C129">
            <v>28</v>
          </cell>
          <cell r="D129">
            <v>1064</v>
          </cell>
        </row>
        <row r="130">
          <cell r="A130">
            <v>35754</v>
          </cell>
          <cell r="B130" t="str">
            <v>白米</v>
          </cell>
          <cell r="C130">
            <v>15</v>
          </cell>
          <cell r="D130">
            <v>570</v>
          </cell>
        </row>
        <row r="131">
          <cell r="A131">
            <v>35760</v>
          </cell>
          <cell r="B131" t="str">
            <v>白米</v>
          </cell>
          <cell r="C131">
            <v>30</v>
          </cell>
          <cell r="D131">
            <v>1140</v>
          </cell>
        </row>
        <row r="132">
          <cell r="A132">
            <v>35766</v>
          </cell>
          <cell r="B132" t="str">
            <v>白米</v>
          </cell>
          <cell r="C132">
            <v>60</v>
          </cell>
          <cell r="D132">
            <v>2280</v>
          </cell>
        </row>
        <row r="133">
          <cell r="A133">
            <v>35781</v>
          </cell>
          <cell r="B133" t="str">
            <v>白米</v>
          </cell>
          <cell r="C133">
            <v>20</v>
          </cell>
          <cell r="D133">
            <v>760</v>
          </cell>
        </row>
        <row r="134">
          <cell r="A134">
            <v>35786</v>
          </cell>
          <cell r="B134" t="str">
            <v>白米</v>
          </cell>
          <cell r="C134">
            <v>20</v>
          </cell>
          <cell r="D134">
            <v>760</v>
          </cell>
        </row>
        <row r="135">
          <cell r="A135">
            <v>35796</v>
          </cell>
          <cell r="B135" t="str">
            <v>白米</v>
          </cell>
          <cell r="C135">
            <v>20</v>
          </cell>
          <cell r="D135">
            <v>760</v>
          </cell>
        </row>
        <row r="136">
          <cell r="A136">
            <v>35802</v>
          </cell>
          <cell r="B136" t="str">
            <v>白米</v>
          </cell>
          <cell r="C136">
            <v>30</v>
          </cell>
          <cell r="D136">
            <v>1140</v>
          </cell>
        </row>
        <row r="137">
          <cell r="A137">
            <v>35815</v>
          </cell>
          <cell r="B137" t="str">
            <v>白米</v>
          </cell>
          <cell r="C137">
            <v>30</v>
          </cell>
          <cell r="D137">
            <v>1140</v>
          </cell>
        </row>
        <row r="138">
          <cell r="A138">
            <v>35822</v>
          </cell>
          <cell r="B138" t="str">
            <v>白米</v>
          </cell>
          <cell r="C138">
            <v>24</v>
          </cell>
          <cell r="D138">
            <v>912</v>
          </cell>
        </row>
        <row r="139">
          <cell r="A139">
            <v>35838</v>
          </cell>
          <cell r="B139" t="str">
            <v>白米</v>
          </cell>
          <cell r="C139">
            <v>21</v>
          </cell>
          <cell r="D139">
            <v>798</v>
          </cell>
        </row>
        <row r="140">
          <cell r="A140">
            <v>35845</v>
          </cell>
          <cell r="B140" t="str">
            <v>白米</v>
          </cell>
          <cell r="C140">
            <v>16</v>
          </cell>
          <cell r="D140">
            <v>608</v>
          </cell>
        </row>
        <row r="141">
          <cell r="A141">
            <v>35866</v>
          </cell>
          <cell r="B141" t="str">
            <v>白米</v>
          </cell>
          <cell r="C141">
            <v>18</v>
          </cell>
          <cell r="D141">
            <v>684</v>
          </cell>
        </row>
        <row r="142">
          <cell r="A142">
            <v>35870</v>
          </cell>
          <cell r="B142" t="str">
            <v>白米</v>
          </cell>
          <cell r="C142">
            <v>1</v>
          </cell>
          <cell r="D142">
            <v>38</v>
          </cell>
        </row>
        <row r="143">
          <cell r="A143">
            <v>35874</v>
          </cell>
          <cell r="B143" t="str">
            <v>白米</v>
          </cell>
          <cell r="C143">
            <v>12</v>
          </cell>
          <cell r="D143">
            <v>456</v>
          </cell>
        </row>
        <row r="144">
          <cell r="A144">
            <v>35898</v>
          </cell>
          <cell r="B144" t="str">
            <v>白米</v>
          </cell>
          <cell r="C144">
            <v>5</v>
          </cell>
          <cell r="D144">
            <v>190</v>
          </cell>
        </row>
        <row r="145">
          <cell r="A145">
            <v>35901</v>
          </cell>
          <cell r="B145" t="str">
            <v>白米</v>
          </cell>
          <cell r="C145">
            <v>20</v>
          </cell>
          <cell r="D145">
            <v>760</v>
          </cell>
        </row>
        <row r="146">
          <cell r="A146">
            <v>35254</v>
          </cell>
          <cell r="B146" t="str">
            <v>小米</v>
          </cell>
          <cell r="C146">
            <v>15</v>
          </cell>
          <cell r="D146">
            <v>234</v>
          </cell>
        </row>
        <row r="147">
          <cell r="A147">
            <v>35265</v>
          </cell>
          <cell r="B147" t="str">
            <v>小米</v>
          </cell>
          <cell r="C147">
            <v>50</v>
          </cell>
          <cell r="D147">
            <v>780</v>
          </cell>
        </row>
        <row r="148">
          <cell r="A148">
            <v>35292</v>
          </cell>
          <cell r="B148" t="str">
            <v>小米</v>
          </cell>
          <cell r="C148">
            <v>2</v>
          </cell>
          <cell r="D148">
            <v>31.2</v>
          </cell>
        </row>
        <row r="149">
          <cell r="A149">
            <v>35348</v>
          </cell>
          <cell r="B149" t="str">
            <v>小米</v>
          </cell>
          <cell r="C149">
            <v>16</v>
          </cell>
          <cell r="D149">
            <v>249.6</v>
          </cell>
        </row>
        <row r="150">
          <cell r="A150">
            <v>35384</v>
          </cell>
          <cell r="B150" t="str">
            <v>小米</v>
          </cell>
          <cell r="C150">
            <v>25</v>
          </cell>
          <cell r="D150">
            <v>390</v>
          </cell>
        </row>
        <row r="151">
          <cell r="A151">
            <v>35398</v>
          </cell>
          <cell r="B151" t="str">
            <v>小米</v>
          </cell>
          <cell r="C151">
            <v>25</v>
          </cell>
          <cell r="D151">
            <v>390</v>
          </cell>
        </row>
        <row r="152">
          <cell r="A152">
            <v>35446</v>
          </cell>
          <cell r="B152" t="str">
            <v>小米</v>
          </cell>
          <cell r="C152">
            <v>20</v>
          </cell>
          <cell r="D152">
            <v>312</v>
          </cell>
        </row>
        <row r="153">
          <cell r="A153">
            <v>35467</v>
          </cell>
          <cell r="B153" t="str">
            <v>小米</v>
          </cell>
          <cell r="C153">
            <v>15</v>
          </cell>
          <cell r="D153">
            <v>234</v>
          </cell>
        </row>
        <row r="154">
          <cell r="A154">
            <v>35563</v>
          </cell>
          <cell r="B154" t="str">
            <v>小米</v>
          </cell>
          <cell r="C154">
            <v>5</v>
          </cell>
          <cell r="D154">
            <v>97.5</v>
          </cell>
        </row>
        <row r="155">
          <cell r="A155">
            <v>35605</v>
          </cell>
          <cell r="B155" t="str">
            <v>小米</v>
          </cell>
          <cell r="C155">
            <v>6</v>
          </cell>
          <cell r="D155">
            <v>117</v>
          </cell>
        </row>
        <row r="156">
          <cell r="A156">
            <v>35608</v>
          </cell>
          <cell r="B156" t="str">
            <v>小米</v>
          </cell>
          <cell r="C156">
            <v>4</v>
          </cell>
          <cell r="D156">
            <v>78</v>
          </cell>
        </row>
        <row r="157">
          <cell r="A157">
            <v>35622</v>
          </cell>
          <cell r="B157" t="str">
            <v>小米</v>
          </cell>
          <cell r="C157">
            <v>20</v>
          </cell>
          <cell r="D157">
            <v>390</v>
          </cell>
        </row>
        <row r="158">
          <cell r="A158">
            <v>35719</v>
          </cell>
          <cell r="B158" t="str">
            <v>小米</v>
          </cell>
          <cell r="C158">
            <v>40</v>
          </cell>
          <cell r="D158">
            <v>780</v>
          </cell>
        </row>
        <row r="159">
          <cell r="A159">
            <v>35760</v>
          </cell>
          <cell r="B159" t="str">
            <v>小米</v>
          </cell>
          <cell r="C159">
            <v>14</v>
          </cell>
          <cell r="D159">
            <v>273</v>
          </cell>
        </row>
        <row r="160">
          <cell r="A160">
            <v>35804</v>
          </cell>
          <cell r="B160" t="str">
            <v>小米</v>
          </cell>
          <cell r="C160">
            <v>15</v>
          </cell>
          <cell r="D160">
            <v>292.5</v>
          </cell>
        </row>
        <row r="161">
          <cell r="A161">
            <v>35807</v>
          </cell>
          <cell r="B161" t="str">
            <v>小米</v>
          </cell>
          <cell r="C161">
            <v>15</v>
          </cell>
          <cell r="D161">
            <v>292.5</v>
          </cell>
        </row>
        <row r="162">
          <cell r="A162">
            <v>35811</v>
          </cell>
          <cell r="B162" t="str">
            <v>小米</v>
          </cell>
          <cell r="C162">
            <v>24</v>
          </cell>
          <cell r="D162">
            <v>468</v>
          </cell>
        </row>
        <row r="163">
          <cell r="A163">
            <v>35821</v>
          </cell>
          <cell r="B163" t="str">
            <v>小米</v>
          </cell>
          <cell r="C163">
            <v>10</v>
          </cell>
          <cell r="D163">
            <v>195</v>
          </cell>
        </row>
        <row r="164">
          <cell r="A164">
            <v>35853</v>
          </cell>
          <cell r="B164" t="str">
            <v>小米</v>
          </cell>
          <cell r="C164">
            <v>20</v>
          </cell>
          <cell r="D164">
            <v>390</v>
          </cell>
        </row>
        <row r="165">
          <cell r="A165">
            <v>35860</v>
          </cell>
          <cell r="B165" t="str">
            <v>小米</v>
          </cell>
          <cell r="C165">
            <v>30</v>
          </cell>
          <cell r="D165">
            <v>585</v>
          </cell>
        </row>
        <row r="166">
          <cell r="A166">
            <v>35881</v>
          </cell>
          <cell r="B166" t="str">
            <v>小米</v>
          </cell>
          <cell r="C166">
            <v>15</v>
          </cell>
          <cell r="D166">
            <v>292.5</v>
          </cell>
        </row>
        <row r="167">
          <cell r="A167">
            <v>35906</v>
          </cell>
          <cell r="B167" t="str">
            <v>小米</v>
          </cell>
          <cell r="C167">
            <v>28</v>
          </cell>
          <cell r="D167">
            <v>546</v>
          </cell>
        </row>
        <row r="168">
          <cell r="A168">
            <v>35913</v>
          </cell>
          <cell r="B168" t="str">
            <v>小米</v>
          </cell>
          <cell r="C168">
            <v>20</v>
          </cell>
          <cell r="D168">
            <v>390</v>
          </cell>
        </row>
        <row r="169">
          <cell r="A169">
            <v>35303</v>
          </cell>
          <cell r="B169" t="str">
            <v>黄豆</v>
          </cell>
          <cell r="C169">
            <v>9</v>
          </cell>
          <cell r="D169">
            <v>239.4</v>
          </cell>
        </row>
        <row r="170">
          <cell r="A170">
            <v>35369</v>
          </cell>
          <cell r="B170" t="str">
            <v>黄豆</v>
          </cell>
          <cell r="C170">
            <v>50</v>
          </cell>
          <cell r="D170">
            <v>1330</v>
          </cell>
        </row>
        <row r="171">
          <cell r="A171">
            <v>35398</v>
          </cell>
          <cell r="B171" t="str">
            <v>黄豆</v>
          </cell>
          <cell r="C171">
            <v>35</v>
          </cell>
          <cell r="D171">
            <v>931</v>
          </cell>
        </row>
        <row r="172">
          <cell r="A172">
            <v>35402</v>
          </cell>
          <cell r="B172" t="str">
            <v>黄豆</v>
          </cell>
          <cell r="C172">
            <v>30</v>
          </cell>
          <cell r="D172">
            <v>798</v>
          </cell>
        </row>
        <row r="173">
          <cell r="A173">
            <v>35457</v>
          </cell>
          <cell r="B173" t="str">
            <v>黄豆</v>
          </cell>
          <cell r="C173">
            <v>7</v>
          </cell>
          <cell r="D173">
            <v>186.2</v>
          </cell>
        </row>
        <row r="174">
          <cell r="A174">
            <v>35466</v>
          </cell>
          <cell r="B174" t="str">
            <v>黄豆</v>
          </cell>
          <cell r="C174">
            <v>30</v>
          </cell>
          <cell r="D174">
            <v>798</v>
          </cell>
        </row>
        <row r="175">
          <cell r="A175">
            <v>35468</v>
          </cell>
          <cell r="B175" t="str">
            <v>黄豆</v>
          </cell>
          <cell r="C175">
            <v>6</v>
          </cell>
          <cell r="D175">
            <v>159.6</v>
          </cell>
        </row>
        <row r="176">
          <cell r="A176">
            <v>35480</v>
          </cell>
          <cell r="B176" t="str">
            <v>黄豆</v>
          </cell>
          <cell r="C176">
            <v>35</v>
          </cell>
          <cell r="D176">
            <v>931</v>
          </cell>
        </row>
        <row r="177">
          <cell r="A177">
            <v>35500</v>
          </cell>
          <cell r="B177" t="str">
            <v>黄豆</v>
          </cell>
          <cell r="C177">
            <v>8</v>
          </cell>
          <cell r="D177">
            <v>212.8</v>
          </cell>
        </row>
        <row r="178">
          <cell r="A178">
            <v>35508</v>
          </cell>
          <cell r="B178" t="str">
            <v>黄豆</v>
          </cell>
          <cell r="C178">
            <v>30</v>
          </cell>
          <cell r="D178">
            <v>798</v>
          </cell>
        </row>
        <row r="179">
          <cell r="A179">
            <v>35584</v>
          </cell>
          <cell r="B179" t="str">
            <v>黄豆</v>
          </cell>
          <cell r="C179">
            <v>30</v>
          </cell>
          <cell r="D179">
            <v>997.5</v>
          </cell>
        </row>
        <row r="180">
          <cell r="A180">
            <v>35592</v>
          </cell>
          <cell r="B180" t="str">
            <v>黄豆</v>
          </cell>
          <cell r="C180">
            <v>18</v>
          </cell>
          <cell r="D180">
            <v>598.5</v>
          </cell>
        </row>
        <row r="181">
          <cell r="A181">
            <v>35600</v>
          </cell>
          <cell r="B181" t="str">
            <v>黄豆</v>
          </cell>
          <cell r="C181">
            <v>6</v>
          </cell>
          <cell r="D181">
            <v>199.5</v>
          </cell>
        </row>
        <row r="182">
          <cell r="A182">
            <v>35654</v>
          </cell>
          <cell r="B182" t="str">
            <v>黄豆</v>
          </cell>
          <cell r="C182">
            <v>9</v>
          </cell>
          <cell r="D182">
            <v>299.25</v>
          </cell>
        </row>
        <row r="183">
          <cell r="A183">
            <v>35688</v>
          </cell>
          <cell r="B183" t="str">
            <v>黄豆</v>
          </cell>
          <cell r="C183">
            <v>15</v>
          </cell>
          <cell r="D183">
            <v>498.75</v>
          </cell>
        </row>
        <row r="184">
          <cell r="A184">
            <v>35698</v>
          </cell>
          <cell r="B184" t="str">
            <v>黄豆</v>
          </cell>
          <cell r="C184">
            <v>28</v>
          </cell>
          <cell r="D184">
            <v>931</v>
          </cell>
        </row>
        <row r="185">
          <cell r="A185">
            <v>35761</v>
          </cell>
          <cell r="B185" t="str">
            <v>黄豆</v>
          </cell>
          <cell r="C185">
            <v>24</v>
          </cell>
          <cell r="D185">
            <v>798</v>
          </cell>
        </row>
        <row r="186">
          <cell r="A186">
            <v>35789</v>
          </cell>
          <cell r="B186" t="str">
            <v>黄豆</v>
          </cell>
          <cell r="C186">
            <v>35</v>
          </cell>
          <cell r="D186">
            <v>1163.75</v>
          </cell>
        </row>
        <row r="187">
          <cell r="A187">
            <v>35809</v>
          </cell>
          <cell r="B187" t="str">
            <v>黄豆</v>
          </cell>
          <cell r="C187">
            <v>3</v>
          </cell>
          <cell r="D187">
            <v>99.75</v>
          </cell>
        </row>
        <row r="188">
          <cell r="A188">
            <v>35811</v>
          </cell>
          <cell r="B188" t="str">
            <v>黄豆</v>
          </cell>
          <cell r="C188">
            <v>30</v>
          </cell>
          <cell r="D188">
            <v>997.5</v>
          </cell>
        </row>
        <row r="189">
          <cell r="A189">
            <v>35816</v>
          </cell>
          <cell r="B189" t="str">
            <v>黄豆</v>
          </cell>
          <cell r="C189">
            <v>48</v>
          </cell>
          <cell r="D189">
            <v>1596</v>
          </cell>
        </row>
        <row r="190">
          <cell r="A190">
            <v>35824</v>
          </cell>
          <cell r="B190" t="str">
            <v>黄豆</v>
          </cell>
          <cell r="C190">
            <v>30</v>
          </cell>
          <cell r="D190">
            <v>997.5</v>
          </cell>
        </row>
        <row r="191">
          <cell r="A191">
            <v>35831</v>
          </cell>
          <cell r="B191" t="str">
            <v>黄豆</v>
          </cell>
          <cell r="C191">
            <v>15</v>
          </cell>
          <cell r="D191">
            <v>498.75</v>
          </cell>
        </row>
        <row r="192">
          <cell r="A192">
            <v>35835</v>
          </cell>
          <cell r="B192" t="str">
            <v>黄豆</v>
          </cell>
          <cell r="C192">
            <v>20</v>
          </cell>
          <cell r="D192">
            <v>665</v>
          </cell>
        </row>
        <row r="193">
          <cell r="A193">
            <v>35872</v>
          </cell>
          <cell r="B193" t="str">
            <v>黄豆</v>
          </cell>
          <cell r="C193">
            <v>8</v>
          </cell>
          <cell r="D193">
            <v>266</v>
          </cell>
        </row>
        <row r="194">
          <cell r="A194">
            <v>35877</v>
          </cell>
          <cell r="B194" t="str">
            <v>黄豆</v>
          </cell>
          <cell r="C194">
            <v>4</v>
          </cell>
          <cell r="D194">
            <v>133</v>
          </cell>
        </row>
        <row r="195">
          <cell r="A195">
            <v>35902</v>
          </cell>
          <cell r="B195" t="str">
            <v>黄豆</v>
          </cell>
          <cell r="C195">
            <v>20</v>
          </cell>
          <cell r="D195">
            <v>665</v>
          </cell>
        </row>
        <row r="196">
          <cell r="A196">
            <v>35912</v>
          </cell>
          <cell r="B196" t="str">
            <v>黄豆</v>
          </cell>
          <cell r="C196">
            <v>25</v>
          </cell>
          <cell r="D196">
            <v>831.25</v>
          </cell>
        </row>
        <row r="197">
          <cell r="A197">
            <v>35920</v>
          </cell>
          <cell r="B197" t="str">
            <v>黄豆</v>
          </cell>
          <cell r="C197">
            <v>130</v>
          </cell>
          <cell r="D197">
            <v>4322.5</v>
          </cell>
        </row>
        <row r="198">
          <cell r="A198">
            <v>35921</v>
          </cell>
          <cell r="B198" t="str">
            <v>黄豆</v>
          </cell>
          <cell r="C198">
            <v>2</v>
          </cell>
          <cell r="D198">
            <v>66.5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第1套"/>
      <sheetName val="第1套答案"/>
      <sheetName val="第2套"/>
      <sheetName val="第2套答案"/>
      <sheetName val="第3套答案"/>
    </sheetNames>
    <sheetDataSet>
      <sheetData sheetId="0">
        <row r="1">
          <cell r="A1" t="str">
            <v>项目</v>
          </cell>
          <cell r="B1" t="str">
            <v>产量</v>
          </cell>
          <cell r="C1" t="str">
            <v>月份</v>
          </cell>
        </row>
        <row r="2">
          <cell r="A2" t="str">
            <v>彩色电视机</v>
          </cell>
          <cell r="B2">
            <v>374</v>
          </cell>
          <cell r="C2">
            <v>36526</v>
          </cell>
        </row>
        <row r="3">
          <cell r="A3" t="str">
            <v>程控交换机</v>
          </cell>
          <cell r="B3">
            <v>351</v>
          </cell>
          <cell r="C3">
            <v>36526</v>
          </cell>
        </row>
        <row r="4">
          <cell r="A4" t="str">
            <v>家用洗衣机</v>
          </cell>
          <cell r="B4">
            <v>149</v>
          </cell>
          <cell r="C4">
            <v>36526</v>
          </cell>
        </row>
        <row r="5">
          <cell r="A5" t="str">
            <v>家用电冰箱</v>
          </cell>
          <cell r="B5">
            <v>88</v>
          </cell>
          <cell r="C5">
            <v>36526</v>
          </cell>
        </row>
        <row r="6">
          <cell r="A6" t="str">
            <v>微型计算机</v>
          </cell>
          <cell r="B6">
            <v>43</v>
          </cell>
          <cell r="C6">
            <v>36526</v>
          </cell>
        </row>
        <row r="7">
          <cell r="A7" t="str">
            <v>汽车</v>
          </cell>
          <cell r="B7">
            <v>14</v>
          </cell>
          <cell r="C7">
            <v>36526</v>
          </cell>
        </row>
        <row r="8">
          <cell r="A8" t="str">
            <v>彩色电视机</v>
          </cell>
          <cell r="B8">
            <v>283</v>
          </cell>
          <cell r="C8">
            <v>36557</v>
          </cell>
        </row>
        <row r="9">
          <cell r="A9" t="str">
            <v>程控交换机</v>
          </cell>
          <cell r="B9">
            <v>249</v>
          </cell>
          <cell r="C9">
            <v>36557</v>
          </cell>
        </row>
        <row r="10">
          <cell r="A10" t="str">
            <v>家用洗衣机</v>
          </cell>
          <cell r="B10">
            <v>114</v>
          </cell>
          <cell r="C10">
            <v>36557</v>
          </cell>
        </row>
        <row r="11">
          <cell r="A11" t="str">
            <v>家用电冰箱</v>
          </cell>
          <cell r="B11">
            <v>80</v>
          </cell>
          <cell r="C11">
            <v>36557</v>
          </cell>
        </row>
        <row r="12">
          <cell r="A12" t="str">
            <v>微型计算机</v>
          </cell>
          <cell r="B12">
            <v>37</v>
          </cell>
          <cell r="C12">
            <v>36557</v>
          </cell>
        </row>
        <row r="13">
          <cell r="A13" t="str">
            <v>汽车</v>
          </cell>
          <cell r="B13">
            <v>12</v>
          </cell>
          <cell r="C13">
            <v>36557</v>
          </cell>
        </row>
        <row r="14">
          <cell r="A14" t="str">
            <v>程控交换机</v>
          </cell>
          <cell r="B14">
            <v>423</v>
          </cell>
          <cell r="C14">
            <v>36586</v>
          </cell>
        </row>
        <row r="15">
          <cell r="A15" t="str">
            <v>彩色电视机</v>
          </cell>
          <cell r="B15">
            <v>365</v>
          </cell>
          <cell r="C15">
            <v>36586</v>
          </cell>
        </row>
        <row r="16">
          <cell r="A16" t="str">
            <v>家用洗衣机</v>
          </cell>
          <cell r="B16">
            <v>146</v>
          </cell>
          <cell r="C16">
            <v>36586</v>
          </cell>
        </row>
        <row r="17">
          <cell r="A17" t="str">
            <v>家用电冰箱</v>
          </cell>
          <cell r="B17">
            <v>129</v>
          </cell>
          <cell r="C17">
            <v>36586</v>
          </cell>
        </row>
        <row r="18">
          <cell r="A18" t="str">
            <v>微型计算机</v>
          </cell>
          <cell r="B18">
            <v>64</v>
          </cell>
          <cell r="C18">
            <v>36586</v>
          </cell>
        </row>
        <row r="19">
          <cell r="A19" t="str">
            <v>汽车</v>
          </cell>
          <cell r="B19">
            <v>21</v>
          </cell>
          <cell r="C19">
            <v>36586</v>
          </cell>
        </row>
        <row r="20">
          <cell r="A20" t="str">
            <v>程控交换机</v>
          </cell>
          <cell r="B20">
            <v>472</v>
          </cell>
          <cell r="C20">
            <v>36617</v>
          </cell>
        </row>
        <row r="21">
          <cell r="A21" t="str">
            <v>彩色电视机</v>
          </cell>
          <cell r="B21">
            <v>363</v>
          </cell>
          <cell r="C21">
            <v>36617</v>
          </cell>
        </row>
        <row r="22">
          <cell r="A22" t="str">
            <v>家用电冰箱</v>
          </cell>
          <cell r="B22">
            <v>139</v>
          </cell>
          <cell r="C22">
            <v>36617</v>
          </cell>
        </row>
        <row r="23">
          <cell r="A23" t="str">
            <v>家用洗衣机</v>
          </cell>
          <cell r="B23">
            <v>106</v>
          </cell>
          <cell r="C23">
            <v>36617</v>
          </cell>
        </row>
        <row r="24">
          <cell r="A24" t="str">
            <v>微型计算机</v>
          </cell>
          <cell r="B24">
            <v>68</v>
          </cell>
          <cell r="C24">
            <v>36617</v>
          </cell>
        </row>
        <row r="25">
          <cell r="A25" t="str">
            <v>汽车</v>
          </cell>
          <cell r="B25">
            <v>22</v>
          </cell>
          <cell r="C25">
            <v>36617</v>
          </cell>
        </row>
        <row r="26">
          <cell r="A26" t="str">
            <v>程控交换机</v>
          </cell>
          <cell r="B26">
            <v>441</v>
          </cell>
          <cell r="C26">
            <v>36647</v>
          </cell>
        </row>
        <row r="27">
          <cell r="A27" t="str">
            <v>彩色电视机</v>
          </cell>
          <cell r="B27">
            <v>297</v>
          </cell>
          <cell r="C27">
            <v>36647</v>
          </cell>
        </row>
        <row r="28">
          <cell r="A28" t="str">
            <v>家用电冰箱</v>
          </cell>
          <cell r="B28">
            <v>139</v>
          </cell>
          <cell r="C28">
            <v>36647</v>
          </cell>
        </row>
        <row r="29">
          <cell r="A29" t="str">
            <v>家用洗衣机</v>
          </cell>
          <cell r="B29">
            <v>82</v>
          </cell>
          <cell r="C29">
            <v>36647</v>
          </cell>
        </row>
        <row r="30">
          <cell r="A30" t="str">
            <v>微型计算机</v>
          </cell>
          <cell r="B30">
            <v>58</v>
          </cell>
          <cell r="C30">
            <v>36647</v>
          </cell>
        </row>
        <row r="31">
          <cell r="A31" t="str">
            <v>汽车</v>
          </cell>
          <cell r="B31">
            <v>20</v>
          </cell>
          <cell r="C31">
            <v>36647</v>
          </cell>
        </row>
        <row r="32">
          <cell r="A32" t="str">
            <v>程控交换机</v>
          </cell>
          <cell r="B32">
            <v>709</v>
          </cell>
          <cell r="C32">
            <v>36678</v>
          </cell>
        </row>
        <row r="33">
          <cell r="A33" t="str">
            <v>彩色电视机</v>
          </cell>
          <cell r="B33">
            <v>202</v>
          </cell>
          <cell r="C33">
            <v>36678</v>
          </cell>
        </row>
        <row r="34">
          <cell r="A34" t="str">
            <v>家用电冰箱</v>
          </cell>
          <cell r="B34">
            <v>158</v>
          </cell>
          <cell r="C34">
            <v>36678</v>
          </cell>
        </row>
        <row r="35">
          <cell r="A35" t="str">
            <v>家用洗衣机</v>
          </cell>
          <cell r="B35">
            <v>79</v>
          </cell>
          <cell r="C35">
            <v>36678</v>
          </cell>
        </row>
        <row r="36">
          <cell r="A36" t="str">
            <v>微型计算机</v>
          </cell>
          <cell r="B36">
            <v>51</v>
          </cell>
          <cell r="C36">
            <v>36678</v>
          </cell>
        </row>
        <row r="37">
          <cell r="A37" t="str">
            <v>汽车</v>
          </cell>
          <cell r="B37">
            <v>19</v>
          </cell>
          <cell r="C37">
            <v>36678</v>
          </cell>
        </row>
        <row r="38">
          <cell r="A38" t="str">
            <v>程控交换机</v>
          </cell>
          <cell r="B38">
            <v>728</v>
          </cell>
          <cell r="C38">
            <v>36892</v>
          </cell>
        </row>
        <row r="39">
          <cell r="A39" t="str">
            <v>彩色电视机</v>
          </cell>
          <cell r="B39">
            <v>341.6</v>
          </cell>
          <cell r="C39">
            <v>36892</v>
          </cell>
        </row>
        <row r="40">
          <cell r="A40" t="str">
            <v>家用洗衣机</v>
          </cell>
          <cell r="B40">
            <v>124.4</v>
          </cell>
          <cell r="C40">
            <v>36892</v>
          </cell>
        </row>
        <row r="41">
          <cell r="A41" t="str">
            <v>家用电冰箱</v>
          </cell>
          <cell r="B41">
            <v>98.4</v>
          </cell>
          <cell r="C41">
            <v>36892</v>
          </cell>
        </row>
        <row r="42">
          <cell r="A42" t="str">
            <v>微型计算机</v>
          </cell>
          <cell r="B42">
            <v>42.5</v>
          </cell>
          <cell r="C42">
            <v>36892</v>
          </cell>
        </row>
        <row r="43">
          <cell r="A43" t="str">
            <v>汽车</v>
          </cell>
          <cell r="B43">
            <v>18.7</v>
          </cell>
          <cell r="C43">
            <v>36892</v>
          </cell>
        </row>
        <row r="44">
          <cell r="A44" t="str">
            <v>程控交换机</v>
          </cell>
          <cell r="B44">
            <v>728</v>
          </cell>
          <cell r="C44">
            <v>36923</v>
          </cell>
        </row>
        <row r="45">
          <cell r="A45" t="str">
            <v>彩色电视机</v>
          </cell>
          <cell r="B45">
            <v>341.6</v>
          </cell>
          <cell r="C45">
            <v>36923</v>
          </cell>
        </row>
        <row r="46">
          <cell r="A46" t="str">
            <v>家用洗衣机</v>
          </cell>
          <cell r="B46">
            <v>124.4</v>
          </cell>
          <cell r="C46">
            <v>36923</v>
          </cell>
        </row>
        <row r="47">
          <cell r="A47" t="str">
            <v>家用电冰箱</v>
          </cell>
          <cell r="B47">
            <v>98.4</v>
          </cell>
          <cell r="C47">
            <v>36923</v>
          </cell>
        </row>
        <row r="48">
          <cell r="A48" t="str">
            <v>微型计算机</v>
          </cell>
          <cell r="B48">
            <v>42.5</v>
          </cell>
          <cell r="C48">
            <v>36923</v>
          </cell>
        </row>
        <row r="49">
          <cell r="A49" t="str">
            <v>汽车</v>
          </cell>
          <cell r="B49">
            <v>18.7</v>
          </cell>
          <cell r="C49">
            <v>36923</v>
          </cell>
        </row>
        <row r="50">
          <cell r="A50" t="str">
            <v>程控交换机</v>
          </cell>
          <cell r="B50">
            <v>571</v>
          </cell>
          <cell r="C50">
            <v>36951</v>
          </cell>
        </row>
        <row r="51">
          <cell r="A51" t="str">
            <v>彩色电视机</v>
          </cell>
          <cell r="B51">
            <v>317.89999999999998</v>
          </cell>
          <cell r="C51">
            <v>36951</v>
          </cell>
        </row>
        <row r="52">
          <cell r="A52" t="str">
            <v>家用电冰箱</v>
          </cell>
          <cell r="B52">
            <v>143</v>
          </cell>
          <cell r="C52">
            <v>36951</v>
          </cell>
        </row>
        <row r="53">
          <cell r="A53" t="str">
            <v>家用洗衣机</v>
          </cell>
          <cell r="B53">
            <v>110.5</v>
          </cell>
          <cell r="C53">
            <v>36951</v>
          </cell>
        </row>
        <row r="54">
          <cell r="A54" t="str">
            <v>微型计算机</v>
          </cell>
          <cell r="B54">
            <v>58.5</v>
          </cell>
          <cell r="C54">
            <v>36951</v>
          </cell>
        </row>
        <row r="55">
          <cell r="A55" t="str">
            <v>汽车</v>
          </cell>
          <cell r="B55">
            <v>26.6</v>
          </cell>
          <cell r="C55">
            <v>36951</v>
          </cell>
        </row>
        <row r="56">
          <cell r="A56" t="str">
            <v>程控交换机</v>
          </cell>
          <cell r="B56">
            <v>634.9</v>
          </cell>
          <cell r="C56">
            <v>36982</v>
          </cell>
        </row>
        <row r="57">
          <cell r="A57" t="str">
            <v>彩色电视机</v>
          </cell>
          <cell r="B57">
            <v>305.89999999999998</v>
          </cell>
          <cell r="C57">
            <v>36982</v>
          </cell>
        </row>
        <row r="58">
          <cell r="A58" t="str">
            <v>家用电冰箱</v>
          </cell>
          <cell r="B58">
            <v>135.19999999999999</v>
          </cell>
          <cell r="C58">
            <v>36982</v>
          </cell>
        </row>
        <row r="59">
          <cell r="A59" t="str">
            <v>家用洗衣机</v>
          </cell>
          <cell r="B59">
            <v>98.7</v>
          </cell>
          <cell r="C59">
            <v>36982</v>
          </cell>
        </row>
        <row r="60">
          <cell r="A60" t="str">
            <v>微型计算机</v>
          </cell>
          <cell r="B60">
            <v>63.2</v>
          </cell>
          <cell r="C60">
            <v>36982</v>
          </cell>
        </row>
        <row r="61">
          <cell r="A61" t="str">
            <v>汽车</v>
          </cell>
          <cell r="B61">
            <v>24.9</v>
          </cell>
          <cell r="C61">
            <v>36982</v>
          </cell>
        </row>
        <row r="62">
          <cell r="A62" t="str">
            <v>程控交换机</v>
          </cell>
          <cell r="B62">
            <v>808</v>
          </cell>
          <cell r="C62">
            <v>37012</v>
          </cell>
        </row>
        <row r="63">
          <cell r="A63" t="str">
            <v>彩色电视机</v>
          </cell>
          <cell r="B63">
            <v>294.5</v>
          </cell>
          <cell r="C63">
            <v>37012</v>
          </cell>
        </row>
        <row r="64">
          <cell r="A64" t="str">
            <v>家用电冰箱</v>
          </cell>
          <cell r="B64">
            <v>155.19999999999999</v>
          </cell>
          <cell r="C64">
            <v>37012</v>
          </cell>
        </row>
        <row r="65">
          <cell r="A65" t="str">
            <v>家用洗衣机</v>
          </cell>
          <cell r="B65">
            <v>78.2</v>
          </cell>
          <cell r="C65">
            <v>37012</v>
          </cell>
        </row>
        <row r="66">
          <cell r="A66" t="str">
            <v>微型计算机</v>
          </cell>
          <cell r="B66">
            <v>63.4</v>
          </cell>
          <cell r="C66">
            <v>37012</v>
          </cell>
        </row>
        <row r="67">
          <cell r="A67" t="str">
            <v>汽车</v>
          </cell>
          <cell r="B67">
            <v>20.8</v>
          </cell>
          <cell r="C67">
            <v>37012</v>
          </cell>
        </row>
        <row r="68">
          <cell r="A68" t="str">
            <v>程控交换机</v>
          </cell>
          <cell r="B68">
            <v>875.1</v>
          </cell>
          <cell r="C68">
            <v>37043</v>
          </cell>
        </row>
        <row r="69">
          <cell r="A69" t="str">
            <v>彩色电视机</v>
          </cell>
          <cell r="B69">
            <v>256.39999999999998</v>
          </cell>
          <cell r="C69">
            <v>37043</v>
          </cell>
        </row>
        <row r="70">
          <cell r="A70" t="str">
            <v>家用电冰箱</v>
          </cell>
          <cell r="B70">
            <v>168.7</v>
          </cell>
          <cell r="C70">
            <v>37043</v>
          </cell>
        </row>
        <row r="71">
          <cell r="A71" t="str">
            <v>家用洗衣机</v>
          </cell>
          <cell r="B71">
            <v>82.9</v>
          </cell>
          <cell r="C71">
            <v>37043</v>
          </cell>
        </row>
        <row r="72">
          <cell r="A72" t="str">
            <v>微型计算机</v>
          </cell>
          <cell r="B72">
            <v>64.599999999999994</v>
          </cell>
          <cell r="C72">
            <v>37043</v>
          </cell>
        </row>
        <row r="73">
          <cell r="A73" t="str">
            <v>汽车</v>
          </cell>
          <cell r="B73">
            <v>20.8</v>
          </cell>
          <cell r="C73">
            <v>37043</v>
          </cell>
        </row>
      </sheetData>
      <sheetData sheetId="1" refreshError="1"/>
      <sheetData sheetId="2"/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第1套"/>
      <sheetName val="第1套答案"/>
      <sheetName val="第2套"/>
      <sheetName val="第2套答案"/>
      <sheetName val="第3套"/>
      <sheetName val="第3套答案"/>
    </sheetNames>
    <sheetDataSet>
      <sheetData sheetId="0">
        <row r="1">
          <cell r="A1" t="str">
            <v>项目</v>
          </cell>
          <cell r="B1" t="str">
            <v>产量</v>
          </cell>
          <cell r="C1" t="str">
            <v>月份</v>
          </cell>
        </row>
        <row r="2">
          <cell r="A2" t="str">
            <v>彩色电视机</v>
          </cell>
          <cell r="B2">
            <v>374</v>
          </cell>
          <cell r="C2">
            <v>36526</v>
          </cell>
        </row>
        <row r="3">
          <cell r="A3" t="str">
            <v>程控交换机</v>
          </cell>
          <cell r="B3">
            <v>351</v>
          </cell>
          <cell r="C3">
            <v>36526</v>
          </cell>
        </row>
        <row r="4">
          <cell r="A4" t="str">
            <v>家用洗衣机</v>
          </cell>
          <cell r="B4">
            <v>149</v>
          </cell>
          <cell r="C4">
            <v>36526</v>
          </cell>
        </row>
        <row r="5">
          <cell r="A5" t="str">
            <v>家用电冰箱</v>
          </cell>
          <cell r="B5">
            <v>88</v>
          </cell>
          <cell r="C5">
            <v>36526</v>
          </cell>
        </row>
        <row r="6">
          <cell r="A6" t="str">
            <v>微型计算机</v>
          </cell>
          <cell r="B6">
            <v>43</v>
          </cell>
          <cell r="C6">
            <v>36526</v>
          </cell>
        </row>
        <row r="7">
          <cell r="A7" t="str">
            <v>汽车</v>
          </cell>
          <cell r="B7">
            <v>14</v>
          </cell>
          <cell r="C7">
            <v>36526</v>
          </cell>
        </row>
        <row r="8">
          <cell r="A8" t="str">
            <v>彩色电视机</v>
          </cell>
          <cell r="B8">
            <v>283</v>
          </cell>
          <cell r="C8">
            <v>36557</v>
          </cell>
        </row>
        <row r="9">
          <cell r="A9" t="str">
            <v>程控交换机</v>
          </cell>
          <cell r="B9">
            <v>249</v>
          </cell>
          <cell r="C9">
            <v>36557</v>
          </cell>
        </row>
        <row r="10">
          <cell r="A10" t="str">
            <v>家用洗衣机</v>
          </cell>
          <cell r="B10">
            <v>114</v>
          </cell>
          <cell r="C10">
            <v>36557</v>
          </cell>
        </row>
        <row r="11">
          <cell r="A11" t="str">
            <v>家用电冰箱</v>
          </cell>
          <cell r="B11">
            <v>80</v>
          </cell>
          <cell r="C11">
            <v>36557</v>
          </cell>
        </row>
        <row r="12">
          <cell r="A12" t="str">
            <v>微型计算机</v>
          </cell>
          <cell r="B12">
            <v>37</v>
          </cell>
          <cell r="C12">
            <v>36557</v>
          </cell>
        </row>
        <row r="13">
          <cell r="A13" t="str">
            <v>汽车</v>
          </cell>
          <cell r="B13">
            <v>12</v>
          </cell>
          <cell r="C13">
            <v>36557</v>
          </cell>
        </row>
        <row r="14">
          <cell r="A14" t="str">
            <v>程控交换机</v>
          </cell>
          <cell r="B14">
            <v>423</v>
          </cell>
          <cell r="C14">
            <v>36586</v>
          </cell>
        </row>
        <row r="15">
          <cell r="A15" t="str">
            <v>彩色电视机</v>
          </cell>
          <cell r="B15">
            <v>365</v>
          </cell>
          <cell r="C15">
            <v>36586</v>
          </cell>
        </row>
        <row r="16">
          <cell r="A16" t="str">
            <v>家用洗衣机</v>
          </cell>
          <cell r="B16">
            <v>146</v>
          </cell>
          <cell r="C16">
            <v>36586</v>
          </cell>
        </row>
        <row r="17">
          <cell r="A17" t="str">
            <v>家用电冰箱</v>
          </cell>
          <cell r="B17">
            <v>129</v>
          </cell>
          <cell r="C17">
            <v>36586</v>
          </cell>
        </row>
        <row r="18">
          <cell r="A18" t="str">
            <v>微型计算机</v>
          </cell>
          <cell r="B18">
            <v>64</v>
          </cell>
          <cell r="C18">
            <v>36586</v>
          </cell>
        </row>
        <row r="19">
          <cell r="A19" t="str">
            <v>汽车</v>
          </cell>
          <cell r="B19">
            <v>21</v>
          </cell>
          <cell r="C19">
            <v>36586</v>
          </cell>
        </row>
        <row r="20">
          <cell r="A20" t="str">
            <v>程控交换机</v>
          </cell>
          <cell r="B20">
            <v>472</v>
          </cell>
          <cell r="C20">
            <v>36617</v>
          </cell>
        </row>
        <row r="21">
          <cell r="A21" t="str">
            <v>彩色电视机</v>
          </cell>
          <cell r="B21">
            <v>363</v>
          </cell>
          <cell r="C21">
            <v>36617</v>
          </cell>
        </row>
        <row r="22">
          <cell r="A22" t="str">
            <v>家用电冰箱</v>
          </cell>
          <cell r="B22">
            <v>139</v>
          </cell>
          <cell r="C22">
            <v>36617</v>
          </cell>
        </row>
        <row r="23">
          <cell r="A23" t="str">
            <v>家用洗衣机</v>
          </cell>
          <cell r="B23">
            <v>106</v>
          </cell>
          <cell r="C23">
            <v>36617</v>
          </cell>
        </row>
        <row r="24">
          <cell r="A24" t="str">
            <v>微型计算机</v>
          </cell>
          <cell r="B24">
            <v>68</v>
          </cell>
          <cell r="C24">
            <v>36617</v>
          </cell>
        </row>
        <row r="25">
          <cell r="A25" t="str">
            <v>汽车</v>
          </cell>
          <cell r="B25">
            <v>22</v>
          </cell>
          <cell r="C25">
            <v>36617</v>
          </cell>
        </row>
        <row r="26">
          <cell r="A26" t="str">
            <v>程控交换机</v>
          </cell>
          <cell r="B26">
            <v>441</v>
          </cell>
          <cell r="C26">
            <v>36647</v>
          </cell>
        </row>
        <row r="27">
          <cell r="A27" t="str">
            <v>彩色电视机</v>
          </cell>
          <cell r="B27">
            <v>297</v>
          </cell>
          <cell r="C27">
            <v>36647</v>
          </cell>
        </row>
        <row r="28">
          <cell r="A28" t="str">
            <v>家用电冰箱</v>
          </cell>
          <cell r="B28">
            <v>139</v>
          </cell>
          <cell r="C28">
            <v>36647</v>
          </cell>
        </row>
        <row r="29">
          <cell r="A29" t="str">
            <v>家用洗衣机</v>
          </cell>
          <cell r="B29">
            <v>82</v>
          </cell>
          <cell r="C29">
            <v>36647</v>
          </cell>
        </row>
        <row r="30">
          <cell r="A30" t="str">
            <v>微型计算机</v>
          </cell>
          <cell r="B30">
            <v>58</v>
          </cell>
          <cell r="C30">
            <v>36647</v>
          </cell>
        </row>
        <row r="31">
          <cell r="A31" t="str">
            <v>汽车</v>
          </cell>
          <cell r="B31">
            <v>20</v>
          </cell>
          <cell r="C31">
            <v>36647</v>
          </cell>
        </row>
        <row r="32">
          <cell r="A32" t="str">
            <v>程控交换机</v>
          </cell>
          <cell r="B32">
            <v>709</v>
          </cell>
          <cell r="C32">
            <v>36678</v>
          </cell>
        </row>
        <row r="33">
          <cell r="A33" t="str">
            <v>彩色电视机</v>
          </cell>
          <cell r="B33">
            <v>202</v>
          </cell>
          <cell r="C33">
            <v>36678</v>
          </cell>
        </row>
        <row r="34">
          <cell r="A34" t="str">
            <v>家用电冰箱</v>
          </cell>
          <cell r="B34">
            <v>158</v>
          </cell>
          <cell r="C34">
            <v>36678</v>
          </cell>
        </row>
        <row r="35">
          <cell r="A35" t="str">
            <v>家用洗衣机</v>
          </cell>
          <cell r="B35">
            <v>79</v>
          </cell>
          <cell r="C35">
            <v>36678</v>
          </cell>
        </row>
        <row r="36">
          <cell r="A36" t="str">
            <v>微型计算机</v>
          </cell>
          <cell r="B36">
            <v>51</v>
          </cell>
          <cell r="C36">
            <v>36678</v>
          </cell>
        </row>
        <row r="37">
          <cell r="A37" t="str">
            <v>汽车</v>
          </cell>
          <cell r="B37">
            <v>19</v>
          </cell>
          <cell r="C37">
            <v>36678</v>
          </cell>
        </row>
        <row r="38">
          <cell r="A38" t="str">
            <v>程控交换机</v>
          </cell>
          <cell r="B38">
            <v>728</v>
          </cell>
          <cell r="C38">
            <v>36892</v>
          </cell>
        </row>
        <row r="39">
          <cell r="A39" t="str">
            <v>彩色电视机</v>
          </cell>
          <cell r="B39">
            <v>341.6</v>
          </cell>
          <cell r="C39">
            <v>36892</v>
          </cell>
        </row>
        <row r="40">
          <cell r="A40" t="str">
            <v>家用洗衣机</v>
          </cell>
          <cell r="B40">
            <v>124.4</v>
          </cell>
          <cell r="C40">
            <v>36892</v>
          </cell>
        </row>
        <row r="41">
          <cell r="A41" t="str">
            <v>家用电冰箱</v>
          </cell>
          <cell r="B41">
            <v>98.4</v>
          </cell>
          <cell r="C41">
            <v>36892</v>
          </cell>
        </row>
        <row r="42">
          <cell r="A42" t="str">
            <v>微型计算机</v>
          </cell>
          <cell r="B42">
            <v>42.5</v>
          </cell>
          <cell r="C42">
            <v>36892</v>
          </cell>
        </row>
        <row r="43">
          <cell r="A43" t="str">
            <v>汽车</v>
          </cell>
          <cell r="B43">
            <v>18.7</v>
          </cell>
          <cell r="C43">
            <v>36892</v>
          </cell>
        </row>
        <row r="44">
          <cell r="A44" t="str">
            <v>程控交换机</v>
          </cell>
          <cell r="B44">
            <v>728</v>
          </cell>
          <cell r="C44">
            <v>36923</v>
          </cell>
        </row>
        <row r="45">
          <cell r="A45" t="str">
            <v>彩色电视机</v>
          </cell>
          <cell r="B45">
            <v>341.6</v>
          </cell>
          <cell r="C45">
            <v>36923</v>
          </cell>
        </row>
        <row r="46">
          <cell r="A46" t="str">
            <v>家用洗衣机</v>
          </cell>
          <cell r="B46">
            <v>124.4</v>
          </cell>
          <cell r="C46">
            <v>36923</v>
          </cell>
        </row>
        <row r="47">
          <cell r="A47" t="str">
            <v>家用电冰箱</v>
          </cell>
          <cell r="B47">
            <v>98.4</v>
          </cell>
          <cell r="C47">
            <v>36923</v>
          </cell>
        </row>
        <row r="48">
          <cell r="A48" t="str">
            <v>微型计算机</v>
          </cell>
          <cell r="B48">
            <v>42.5</v>
          </cell>
          <cell r="C48">
            <v>36923</v>
          </cell>
        </row>
        <row r="49">
          <cell r="A49" t="str">
            <v>汽车</v>
          </cell>
          <cell r="B49">
            <v>18.7</v>
          </cell>
          <cell r="C49">
            <v>36923</v>
          </cell>
        </row>
        <row r="50">
          <cell r="A50" t="str">
            <v>程控交换机</v>
          </cell>
          <cell r="B50">
            <v>571</v>
          </cell>
          <cell r="C50">
            <v>36951</v>
          </cell>
        </row>
        <row r="51">
          <cell r="A51" t="str">
            <v>彩色电视机</v>
          </cell>
          <cell r="B51">
            <v>317.89999999999998</v>
          </cell>
          <cell r="C51">
            <v>36951</v>
          </cell>
        </row>
        <row r="52">
          <cell r="A52" t="str">
            <v>家用电冰箱</v>
          </cell>
          <cell r="B52">
            <v>143</v>
          </cell>
          <cell r="C52">
            <v>36951</v>
          </cell>
        </row>
        <row r="53">
          <cell r="A53" t="str">
            <v>家用洗衣机</v>
          </cell>
          <cell r="B53">
            <v>110.5</v>
          </cell>
          <cell r="C53">
            <v>36951</v>
          </cell>
        </row>
        <row r="54">
          <cell r="A54" t="str">
            <v>微型计算机</v>
          </cell>
          <cell r="B54">
            <v>58.5</v>
          </cell>
          <cell r="C54">
            <v>36951</v>
          </cell>
        </row>
        <row r="55">
          <cell r="A55" t="str">
            <v>汽车</v>
          </cell>
          <cell r="B55">
            <v>26.6</v>
          </cell>
          <cell r="C55">
            <v>36951</v>
          </cell>
        </row>
        <row r="56">
          <cell r="A56" t="str">
            <v>程控交换机</v>
          </cell>
          <cell r="B56">
            <v>634.9</v>
          </cell>
          <cell r="C56">
            <v>36982</v>
          </cell>
        </row>
        <row r="57">
          <cell r="A57" t="str">
            <v>彩色电视机</v>
          </cell>
          <cell r="B57">
            <v>305.89999999999998</v>
          </cell>
          <cell r="C57">
            <v>36982</v>
          </cell>
        </row>
        <row r="58">
          <cell r="A58" t="str">
            <v>家用电冰箱</v>
          </cell>
          <cell r="B58">
            <v>135.19999999999999</v>
          </cell>
          <cell r="C58">
            <v>36982</v>
          </cell>
        </row>
        <row r="59">
          <cell r="A59" t="str">
            <v>家用洗衣机</v>
          </cell>
          <cell r="B59">
            <v>98.7</v>
          </cell>
          <cell r="C59">
            <v>36982</v>
          </cell>
        </row>
        <row r="60">
          <cell r="A60" t="str">
            <v>微型计算机</v>
          </cell>
          <cell r="B60">
            <v>63.2</v>
          </cell>
          <cell r="C60">
            <v>36982</v>
          </cell>
        </row>
        <row r="61">
          <cell r="A61" t="str">
            <v>汽车</v>
          </cell>
          <cell r="B61">
            <v>24.9</v>
          </cell>
          <cell r="C61">
            <v>36982</v>
          </cell>
        </row>
        <row r="62">
          <cell r="A62" t="str">
            <v>程控交换机</v>
          </cell>
          <cell r="B62">
            <v>808</v>
          </cell>
          <cell r="C62">
            <v>37012</v>
          </cell>
        </row>
        <row r="63">
          <cell r="A63" t="str">
            <v>彩色电视机</v>
          </cell>
          <cell r="B63">
            <v>294.5</v>
          </cell>
          <cell r="C63">
            <v>37012</v>
          </cell>
        </row>
        <row r="64">
          <cell r="A64" t="str">
            <v>家用电冰箱</v>
          </cell>
          <cell r="B64">
            <v>155.19999999999999</v>
          </cell>
          <cell r="C64">
            <v>37012</v>
          </cell>
        </row>
        <row r="65">
          <cell r="A65" t="str">
            <v>家用洗衣机</v>
          </cell>
          <cell r="B65">
            <v>78.2</v>
          </cell>
          <cell r="C65">
            <v>37012</v>
          </cell>
        </row>
        <row r="66">
          <cell r="A66" t="str">
            <v>微型计算机</v>
          </cell>
          <cell r="B66">
            <v>63.4</v>
          </cell>
          <cell r="C66">
            <v>37012</v>
          </cell>
        </row>
        <row r="67">
          <cell r="A67" t="str">
            <v>汽车</v>
          </cell>
          <cell r="B67">
            <v>20.8</v>
          </cell>
          <cell r="C67">
            <v>37012</v>
          </cell>
        </row>
        <row r="68">
          <cell r="A68" t="str">
            <v>程控交换机</v>
          </cell>
          <cell r="B68">
            <v>875.1</v>
          </cell>
          <cell r="C68">
            <v>37043</v>
          </cell>
        </row>
        <row r="69">
          <cell r="A69" t="str">
            <v>彩色电视机</v>
          </cell>
          <cell r="B69">
            <v>256.39999999999998</v>
          </cell>
          <cell r="C69">
            <v>37043</v>
          </cell>
        </row>
        <row r="70">
          <cell r="A70" t="str">
            <v>家用电冰箱</v>
          </cell>
          <cell r="B70">
            <v>168.7</v>
          </cell>
          <cell r="C70">
            <v>37043</v>
          </cell>
        </row>
        <row r="71">
          <cell r="A71" t="str">
            <v>家用洗衣机</v>
          </cell>
          <cell r="B71">
            <v>82.9</v>
          </cell>
          <cell r="C71">
            <v>37043</v>
          </cell>
        </row>
        <row r="72">
          <cell r="A72" t="str">
            <v>微型计算机</v>
          </cell>
          <cell r="B72">
            <v>64.599999999999994</v>
          </cell>
          <cell r="C72">
            <v>37043</v>
          </cell>
        </row>
        <row r="73">
          <cell r="A73" t="str">
            <v>汽车</v>
          </cell>
          <cell r="B73">
            <v>20.8</v>
          </cell>
          <cell r="C73">
            <v>37043</v>
          </cell>
        </row>
      </sheetData>
      <sheetData sheetId="1"/>
      <sheetData sheetId="2">
        <row r="1">
          <cell r="A1" t="str">
            <v>工业类型</v>
          </cell>
          <cell r="B1" t="str">
            <v>企业规模</v>
          </cell>
          <cell r="C1" t="str">
            <v>企业类型</v>
          </cell>
          <cell r="D1" t="str">
            <v>产值</v>
          </cell>
        </row>
        <row r="2">
          <cell r="A2" t="str">
            <v>轻工业</v>
          </cell>
          <cell r="B2" t="str">
            <v>小型</v>
          </cell>
          <cell r="C2" t="str">
            <v>国有及国有控股企业</v>
          </cell>
          <cell r="D2">
            <v>15008.16</v>
          </cell>
        </row>
        <row r="3">
          <cell r="A3" t="str">
            <v>轻工业</v>
          </cell>
          <cell r="B3" t="str">
            <v>小型</v>
          </cell>
          <cell r="C3" t="str">
            <v>国有及国有控股企业</v>
          </cell>
          <cell r="D3">
            <v>55788.45</v>
          </cell>
        </row>
        <row r="4">
          <cell r="A4" t="str">
            <v>重工业</v>
          </cell>
          <cell r="B4" t="str">
            <v>中型</v>
          </cell>
          <cell r="C4" t="str">
            <v>股份有限公司</v>
          </cell>
          <cell r="D4">
            <v>19514.89</v>
          </cell>
        </row>
        <row r="5">
          <cell r="A5" t="str">
            <v>重工业</v>
          </cell>
          <cell r="B5" t="str">
            <v>大型</v>
          </cell>
          <cell r="C5" t="str">
            <v>股份有限公司</v>
          </cell>
          <cell r="D5">
            <v>76910.34</v>
          </cell>
        </row>
        <row r="6">
          <cell r="A6" t="str">
            <v>轻工业</v>
          </cell>
          <cell r="B6" t="str">
            <v>大型</v>
          </cell>
          <cell r="C6" t="str">
            <v>外商投资企业</v>
          </cell>
          <cell r="D6">
            <v>57588.57</v>
          </cell>
        </row>
        <row r="7">
          <cell r="A7" t="str">
            <v>轻工业</v>
          </cell>
          <cell r="B7" t="str">
            <v>小型</v>
          </cell>
          <cell r="C7" t="str">
            <v>港澳台商投资企业</v>
          </cell>
          <cell r="D7">
            <v>98459.91</v>
          </cell>
        </row>
        <row r="8">
          <cell r="A8" t="str">
            <v>轻工业</v>
          </cell>
          <cell r="B8" t="str">
            <v>小型</v>
          </cell>
          <cell r="C8" t="str">
            <v>国有及国有控股企业</v>
          </cell>
          <cell r="D8">
            <v>95950.77</v>
          </cell>
        </row>
        <row r="9">
          <cell r="A9" t="str">
            <v>轻工业</v>
          </cell>
          <cell r="B9" t="str">
            <v>小型</v>
          </cell>
          <cell r="C9" t="str">
            <v>港澳台商投资企业</v>
          </cell>
          <cell r="D9">
            <v>53610.12</v>
          </cell>
        </row>
        <row r="10">
          <cell r="A10" t="str">
            <v>重工业</v>
          </cell>
          <cell r="B10" t="str">
            <v>小型</v>
          </cell>
          <cell r="C10" t="str">
            <v>港澳台商投资企业</v>
          </cell>
          <cell r="D10">
            <v>26083.279999999999</v>
          </cell>
        </row>
        <row r="11">
          <cell r="A11" t="str">
            <v>轻工业</v>
          </cell>
          <cell r="B11" t="str">
            <v>中型</v>
          </cell>
          <cell r="C11" t="str">
            <v>外商投资企业</v>
          </cell>
          <cell r="D11">
            <v>85073.17</v>
          </cell>
        </row>
        <row r="12">
          <cell r="A12" t="str">
            <v>重工业</v>
          </cell>
          <cell r="B12" t="str">
            <v>中型</v>
          </cell>
          <cell r="C12" t="str">
            <v>股份有限公司</v>
          </cell>
          <cell r="D12">
            <v>24690.799999999999</v>
          </cell>
        </row>
        <row r="13">
          <cell r="A13" t="str">
            <v>重工业</v>
          </cell>
          <cell r="B13" t="str">
            <v>小型</v>
          </cell>
          <cell r="C13" t="str">
            <v>港澳台商投资企业</v>
          </cell>
          <cell r="D13">
            <v>9522.1</v>
          </cell>
        </row>
        <row r="14">
          <cell r="A14" t="str">
            <v>轻工业</v>
          </cell>
          <cell r="B14" t="str">
            <v>小型</v>
          </cell>
          <cell r="C14" t="str">
            <v>国有及国有控股企业</v>
          </cell>
          <cell r="D14">
            <v>37684.04</v>
          </cell>
        </row>
        <row r="15">
          <cell r="A15" t="str">
            <v>轻工业</v>
          </cell>
          <cell r="B15" t="str">
            <v>大型</v>
          </cell>
          <cell r="C15" t="str">
            <v>国有及国有控股企业</v>
          </cell>
          <cell r="D15">
            <v>16045.63</v>
          </cell>
        </row>
        <row r="16">
          <cell r="A16" t="str">
            <v>轻工业</v>
          </cell>
          <cell r="B16" t="str">
            <v>中型</v>
          </cell>
          <cell r="C16" t="str">
            <v>股份有限公司</v>
          </cell>
          <cell r="D16">
            <v>5227.33</v>
          </cell>
        </row>
        <row r="17">
          <cell r="A17" t="str">
            <v>轻工业</v>
          </cell>
          <cell r="B17" t="str">
            <v>大型</v>
          </cell>
          <cell r="C17" t="str">
            <v>国有及国有控股企业</v>
          </cell>
          <cell r="D17">
            <v>58695.08</v>
          </cell>
        </row>
        <row r="18">
          <cell r="A18" t="str">
            <v>重工业</v>
          </cell>
          <cell r="B18" t="str">
            <v>中型</v>
          </cell>
          <cell r="C18" t="str">
            <v>集体企业</v>
          </cell>
          <cell r="D18">
            <v>65561.63</v>
          </cell>
        </row>
        <row r="19">
          <cell r="A19" t="str">
            <v>重工业</v>
          </cell>
          <cell r="B19" t="str">
            <v>小型</v>
          </cell>
          <cell r="C19" t="str">
            <v>国有及国有控股企业</v>
          </cell>
          <cell r="D19">
            <v>1873.21</v>
          </cell>
        </row>
        <row r="20">
          <cell r="A20" t="str">
            <v>重工业</v>
          </cell>
          <cell r="B20" t="str">
            <v>中型</v>
          </cell>
          <cell r="C20" t="str">
            <v>集体企业</v>
          </cell>
          <cell r="D20">
            <v>17940.259999999998</v>
          </cell>
        </row>
        <row r="21">
          <cell r="A21" t="str">
            <v>轻工业</v>
          </cell>
          <cell r="B21" t="str">
            <v>大型</v>
          </cell>
          <cell r="C21" t="str">
            <v>集体企业</v>
          </cell>
          <cell r="D21">
            <v>12431.5</v>
          </cell>
        </row>
        <row r="22">
          <cell r="A22" t="str">
            <v>重工业</v>
          </cell>
          <cell r="B22" t="str">
            <v>小型</v>
          </cell>
          <cell r="C22" t="str">
            <v>外商投资企业</v>
          </cell>
          <cell r="D22">
            <v>10913.71</v>
          </cell>
        </row>
        <row r="23">
          <cell r="A23" t="str">
            <v>轻工业</v>
          </cell>
          <cell r="B23" t="str">
            <v>大型</v>
          </cell>
          <cell r="C23" t="str">
            <v>国有及国有控股企业</v>
          </cell>
          <cell r="D23">
            <v>4630.91</v>
          </cell>
        </row>
        <row r="24">
          <cell r="A24" t="str">
            <v>轻工业</v>
          </cell>
          <cell r="B24" t="str">
            <v>小型</v>
          </cell>
          <cell r="C24" t="str">
            <v>港澳台商投资企业</v>
          </cell>
          <cell r="D24">
            <v>1296.26</v>
          </cell>
        </row>
        <row r="25">
          <cell r="A25" t="str">
            <v>轻工业</v>
          </cell>
          <cell r="B25" t="str">
            <v>大型</v>
          </cell>
          <cell r="C25" t="str">
            <v>国有及国有控股企业</v>
          </cell>
          <cell r="D25">
            <v>51686.97</v>
          </cell>
        </row>
        <row r="26">
          <cell r="A26" t="str">
            <v>轻工业</v>
          </cell>
          <cell r="B26" t="str">
            <v>小型</v>
          </cell>
          <cell r="C26" t="str">
            <v>港澳台商投资企业</v>
          </cell>
          <cell r="D26">
            <v>38875.599999999999</v>
          </cell>
        </row>
        <row r="27">
          <cell r="A27" t="str">
            <v>重工业</v>
          </cell>
          <cell r="B27" t="str">
            <v>大型</v>
          </cell>
          <cell r="C27" t="str">
            <v>国有及国有控股企业</v>
          </cell>
          <cell r="D27">
            <v>18409.88</v>
          </cell>
        </row>
        <row r="28">
          <cell r="A28" t="str">
            <v>重工业</v>
          </cell>
          <cell r="B28" t="str">
            <v>大型</v>
          </cell>
          <cell r="C28" t="str">
            <v>集体企业</v>
          </cell>
          <cell r="D28">
            <v>24532.92</v>
          </cell>
        </row>
        <row r="29">
          <cell r="A29" t="str">
            <v>重工业</v>
          </cell>
          <cell r="B29" t="str">
            <v>小型</v>
          </cell>
          <cell r="C29" t="str">
            <v>集体企业</v>
          </cell>
          <cell r="D29">
            <v>58960.84</v>
          </cell>
        </row>
        <row r="30">
          <cell r="A30" t="str">
            <v>轻工业</v>
          </cell>
          <cell r="B30" t="str">
            <v>中型</v>
          </cell>
          <cell r="C30" t="str">
            <v>股份有限公司</v>
          </cell>
          <cell r="D30">
            <v>75499.08</v>
          </cell>
        </row>
        <row r="31">
          <cell r="A31" t="str">
            <v>重工业</v>
          </cell>
          <cell r="B31" t="str">
            <v>中型</v>
          </cell>
          <cell r="C31" t="str">
            <v>集体企业</v>
          </cell>
          <cell r="D31">
            <v>97593.18</v>
          </cell>
        </row>
        <row r="32">
          <cell r="A32" t="str">
            <v>轻工业</v>
          </cell>
          <cell r="B32" t="str">
            <v>小型</v>
          </cell>
          <cell r="C32" t="str">
            <v>国有及国有控股企业</v>
          </cell>
          <cell r="D32">
            <v>83750.720000000001</v>
          </cell>
        </row>
        <row r="33">
          <cell r="A33" t="str">
            <v>轻工业</v>
          </cell>
          <cell r="B33" t="str">
            <v>中型</v>
          </cell>
          <cell r="C33" t="str">
            <v>股份有限公司</v>
          </cell>
          <cell r="D33">
            <v>36999.15</v>
          </cell>
        </row>
        <row r="34">
          <cell r="A34" t="str">
            <v>重工业</v>
          </cell>
          <cell r="B34" t="str">
            <v>中型</v>
          </cell>
          <cell r="C34" t="str">
            <v>外商投资企业</v>
          </cell>
          <cell r="D34">
            <v>89761.17</v>
          </cell>
        </row>
        <row r="35">
          <cell r="A35" t="str">
            <v>轻工业</v>
          </cell>
          <cell r="B35" t="str">
            <v>中型</v>
          </cell>
          <cell r="C35" t="str">
            <v>股份有限公司</v>
          </cell>
          <cell r="D35">
            <v>65555.11</v>
          </cell>
        </row>
        <row r="36">
          <cell r="A36" t="str">
            <v>重工业</v>
          </cell>
          <cell r="B36" t="str">
            <v>中型</v>
          </cell>
          <cell r="C36" t="str">
            <v>国有及国有控股企业</v>
          </cell>
          <cell r="D36">
            <v>37862.28</v>
          </cell>
        </row>
        <row r="37">
          <cell r="A37" t="str">
            <v>重工业</v>
          </cell>
          <cell r="B37" t="str">
            <v>小型</v>
          </cell>
          <cell r="C37" t="str">
            <v>股份有限公司</v>
          </cell>
          <cell r="D37">
            <v>66551.91</v>
          </cell>
        </row>
        <row r="38">
          <cell r="A38" t="str">
            <v>重工业</v>
          </cell>
          <cell r="B38" t="str">
            <v>大型</v>
          </cell>
          <cell r="C38" t="str">
            <v>股份有限公司</v>
          </cell>
          <cell r="D38">
            <v>27469.67</v>
          </cell>
        </row>
        <row r="39">
          <cell r="A39" t="str">
            <v>轻工业</v>
          </cell>
          <cell r="B39" t="str">
            <v>中型</v>
          </cell>
          <cell r="C39" t="str">
            <v>国有及国有控股企业</v>
          </cell>
          <cell r="D39">
            <v>804.44</v>
          </cell>
        </row>
        <row r="40">
          <cell r="A40" t="str">
            <v>轻工业</v>
          </cell>
          <cell r="B40" t="str">
            <v>大型</v>
          </cell>
          <cell r="C40" t="str">
            <v>国有及国有控股企业</v>
          </cell>
          <cell r="D40">
            <v>21530.240000000002</v>
          </cell>
        </row>
        <row r="41">
          <cell r="A41" t="str">
            <v>重工业</v>
          </cell>
          <cell r="B41" t="str">
            <v>中型</v>
          </cell>
          <cell r="C41" t="str">
            <v>国有及国有控股企业</v>
          </cell>
          <cell r="D41">
            <v>69650.320000000007</v>
          </cell>
        </row>
        <row r="42">
          <cell r="A42" t="str">
            <v>重工业</v>
          </cell>
          <cell r="B42" t="str">
            <v>大型</v>
          </cell>
          <cell r="C42" t="str">
            <v>国有及国有控股企业</v>
          </cell>
          <cell r="D42">
            <v>56947.37</v>
          </cell>
        </row>
        <row r="43">
          <cell r="A43" t="str">
            <v>重工业</v>
          </cell>
          <cell r="B43" t="str">
            <v>中型</v>
          </cell>
          <cell r="C43" t="str">
            <v>国有及国有控股企业</v>
          </cell>
          <cell r="D43">
            <v>1213.6300000000001</v>
          </cell>
        </row>
        <row r="44">
          <cell r="A44" t="str">
            <v>轻工业</v>
          </cell>
          <cell r="B44" t="str">
            <v>大型</v>
          </cell>
          <cell r="C44" t="str">
            <v>股份有限公司</v>
          </cell>
          <cell r="D44">
            <v>40162.51</v>
          </cell>
        </row>
        <row r="45">
          <cell r="A45" t="str">
            <v>轻工业</v>
          </cell>
          <cell r="B45" t="str">
            <v>小型</v>
          </cell>
          <cell r="C45" t="str">
            <v>国有及国有控股企业</v>
          </cell>
          <cell r="D45">
            <v>57128.959999999999</v>
          </cell>
        </row>
        <row r="46">
          <cell r="A46" t="str">
            <v>重工业</v>
          </cell>
          <cell r="B46" t="str">
            <v>中型</v>
          </cell>
          <cell r="C46" t="str">
            <v>集体企业</v>
          </cell>
          <cell r="D46">
            <v>84697.89</v>
          </cell>
        </row>
        <row r="47">
          <cell r="A47" t="str">
            <v>重工业</v>
          </cell>
          <cell r="B47" t="str">
            <v>小型</v>
          </cell>
          <cell r="C47" t="str">
            <v>港澳台商投资企业</v>
          </cell>
          <cell r="D47">
            <v>39062.11</v>
          </cell>
        </row>
        <row r="48">
          <cell r="A48" t="str">
            <v>重工业</v>
          </cell>
          <cell r="B48" t="str">
            <v>中型</v>
          </cell>
          <cell r="C48" t="str">
            <v>港澳台商投资企业</v>
          </cell>
          <cell r="D48">
            <v>50101.85</v>
          </cell>
        </row>
        <row r="49">
          <cell r="A49" t="str">
            <v>重工业</v>
          </cell>
          <cell r="B49" t="str">
            <v>大型</v>
          </cell>
          <cell r="C49" t="str">
            <v>股份有限公司</v>
          </cell>
          <cell r="D49">
            <v>71417.38</v>
          </cell>
        </row>
        <row r="50">
          <cell r="A50" t="str">
            <v>重工业</v>
          </cell>
          <cell r="B50" t="str">
            <v>中型</v>
          </cell>
          <cell r="C50" t="str">
            <v>股份有限公司</v>
          </cell>
          <cell r="D50">
            <v>11228.25</v>
          </cell>
        </row>
        <row r="51">
          <cell r="A51" t="str">
            <v>轻工业</v>
          </cell>
          <cell r="B51" t="str">
            <v>大型</v>
          </cell>
          <cell r="C51" t="str">
            <v>外商投资企业</v>
          </cell>
          <cell r="D51">
            <v>93794.1</v>
          </cell>
        </row>
        <row r="52">
          <cell r="A52" t="str">
            <v>轻工业</v>
          </cell>
          <cell r="B52" t="str">
            <v>大型</v>
          </cell>
          <cell r="C52" t="str">
            <v>外商投资企业</v>
          </cell>
          <cell r="D52">
            <v>72956.81</v>
          </cell>
        </row>
        <row r="53">
          <cell r="A53" t="str">
            <v>轻工业</v>
          </cell>
          <cell r="B53" t="str">
            <v>小型</v>
          </cell>
          <cell r="C53" t="str">
            <v>国有及国有控股企业</v>
          </cell>
          <cell r="D53">
            <v>29969.62</v>
          </cell>
        </row>
        <row r="54">
          <cell r="A54" t="str">
            <v>轻工业</v>
          </cell>
          <cell r="B54" t="str">
            <v>大型</v>
          </cell>
          <cell r="C54" t="str">
            <v>股份有限公司</v>
          </cell>
          <cell r="D54">
            <v>52723.33</v>
          </cell>
        </row>
        <row r="55">
          <cell r="A55" t="str">
            <v>重工业</v>
          </cell>
          <cell r="B55" t="str">
            <v>大型</v>
          </cell>
          <cell r="C55" t="str">
            <v>股份有限公司</v>
          </cell>
          <cell r="D55">
            <v>17003.34</v>
          </cell>
        </row>
        <row r="56">
          <cell r="A56" t="str">
            <v>轻工业</v>
          </cell>
          <cell r="B56" t="str">
            <v>大型</v>
          </cell>
          <cell r="C56" t="str">
            <v>外商投资企业</v>
          </cell>
          <cell r="D56">
            <v>10906.14</v>
          </cell>
        </row>
        <row r="57">
          <cell r="A57" t="str">
            <v>轻工业</v>
          </cell>
          <cell r="B57" t="str">
            <v>小型</v>
          </cell>
          <cell r="C57" t="str">
            <v>国有及国有控股企业</v>
          </cell>
          <cell r="D57">
            <v>30315.42</v>
          </cell>
        </row>
        <row r="58">
          <cell r="A58" t="str">
            <v>重工业</v>
          </cell>
          <cell r="B58" t="str">
            <v>小型</v>
          </cell>
          <cell r="C58" t="str">
            <v>外商投资企业</v>
          </cell>
          <cell r="D58">
            <v>48900.3</v>
          </cell>
        </row>
        <row r="59">
          <cell r="A59" t="str">
            <v>轻工业</v>
          </cell>
          <cell r="B59" t="str">
            <v>中型</v>
          </cell>
          <cell r="C59" t="str">
            <v>港澳台商投资企业</v>
          </cell>
          <cell r="D59">
            <v>70978.679999999993</v>
          </cell>
        </row>
        <row r="60">
          <cell r="A60" t="str">
            <v>重工业</v>
          </cell>
          <cell r="B60" t="str">
            <v>小型</v>
          </cell>
          <cell r="C60" t="str">
            <v>集体企业</v>
          </cell>
          <cell r="D60">
            <v>2725.23</v>
          </cell>
        </row>
        <row r="61">
          <cell r="A61" t="str">
            <v>轻工业</v>
          </cell>
          <cell r="B61" t="str">
            <v>小型</v>
          </cell>
          <cell r="C61" t="str">
            <v>股份有限公司</v>
          </cell>
          <cell r="D61">
            <v>85627.46</v>
          </cell>
        </row>
        <row r="62">
          <cell r="A62" t="str">
            <v>轻工业</v>
          </cell>
          <cell r="B62" t="str">
            <v>小型</v>
          </cell>
          <cell r="C62" t="str">
            <v>国有及国有控股企业</v>
          </cell>
          <cell r="D62">
            <v>68407.12</v>
          </cell>
        </row>
        <row r="63">
          <cell r="A63" t="str">
            <v>轻工业</v>
          </cell>
          <cell r="B63" t="str">
            <v>中型</v>
          </cell>
          <cell r="C63" t="str">
            <v>股份有限公司</v>
          </cell>
          <cell r="D63">
            <v>47484.26</v>
          </cell>
        </row>
        <row r="64">
          <cell r="A64" t="str">
            <v>重工业</v>
          </cell>
          <cell r="B64" t="str">
            <v>大型</v>
          </cell>
          <cell r="C64" t="str">
            <v>股份有限公司</v>
          </cell>
          <cell r="D64">
            <v>64035.98</v>
          </cell>
        </row>
        <row r="65">
          <cell r="A65" t="str">
            <v>重工业</v>
          </cell>
          <cell r="B65" t="str">
            <v>小型</v>
          </cell>
          <cell r="C65" t="str">
            <v>外商投资企业</v>
          </cell>
          <cell r="D65">
            <v>18456.32</v>
          </cell>
        </row>
        <row r="66">
          <cell r="A66" t="str">
            <v>轻工业</v>
          </cell>
          <cell r="B66" t="str">
            <v>大型</v>
          </cell>
          <cell r="C66" t="str">
            <v>国有及国有控股企业</v>
          </cell>
          <cell r="D66">
            <v>80635.100000000006</v>
          </cell>
        </row>
        <row r="67">
          <cell r="A67" t="str">
            <v>重工业</v>
          </cell>
          <cell r="B67" t="str">
            <v>大型</v>
          </cell>
          <cell r="C67" t="str">
            <v>国有及国有控股企业</v>
          </cell>
          <cell r="D67">
            <v>38460.33</v>
          </cell>
        </row>
        <row r="68">
          <cell r="A68" t="str">
            <v>重工业</v>
          </cell>
          <cell r="B68" t="str">
            <v>中型</v>
          </cell>
          <cell r="C68" t="str">
            <v>港澳台商投资企业</v>
          </cell>
          <cell r="D68">
            <v>40062.35</v>
          </cell>
        </row>
        <row r="69">
          <cell r="A69" t="str">
            <v>重工业</v>
          </cell>
          <cell r="B69" t="str">
            <v>小型</v>
          </cell>
          <cell r="C69" t="str">
            <v>集体企业</v>
          </cell>
          <cell r="D69">
            <v>73520.009999999995</v>
          </cell>
        </row>
        <row r="70">
          <cell r="A70" t="str">
            <v>轻工业</v>
          </cell>
          <cell r="B70" t="str">
            <v>小型</v>
          </cell>
          <cell r="C70" t="str">
            <v>集体企业</v>
          </cell>
          <cell r="D70">
            <v>61172.88</v>
          </cell>
        </row>
        <row r="71">
          <cell r="A71" t="str">
            <v>轻工业</v>
          </cell>
          <cell r="B71" t="str">
            <v>大型</v>
          </cell>
          <cell r="C71" t="str">
            <v>股份有限公司</v>
          </cell>
          <cell r="D71">
            <v>402.06</v>
          </cell>
        </row>
        <row r="72">
          <cell r="A72" t="str">
            <v>重工业</v>
          </cell>
          <cell r="B72" t="str">
            <v>大型</v>
          </cell>
          <cell r="C72" t="str">
            <v>国有及国有控股企业</v>
          </cell>
          <cell r="D72">
            <v>61037.07</v>
          </cell>
        </row>
        <row r="73">
          <cell r="A73" t="str">
            <v>轻工业</v>
          </cell>
          <cell r="B73" t="str">
            <v>中型</v>
          </cell>
          <cell r="C73" t="str">
            <v>国有及国有控股企业</v>
          </cell>
          <cell r="D73">
            <v>66200.12</v>
          </cell>
        </row>
        <row r="74">
          <cell r="A74" t="str">
            <v>重工业</v>
          </cell>
          <cell r="B74" t="str">
            <v>中型</v>
          </cell>
          <cell r="C74" t="str">
            <v>外商投资企业</v>
          </cell>
          <cell r="D74">
            <v>72511.45</v>
          </cell>
        </row>
        <row r="75">
          <cell r="A75" t="str">
            <v>重工业</v>
          </cell>
          <cell r="B75" t="str">
            <v>大型</v>
          </cell>
          <cell r="C75" t="str">
            <v>集体企业</v>
          </cell>
          <cell r="D75">
            <v>56101.94</v>
          </cell>
        </row>
        <row r="76">
          <cell r="A76" t="str">
            <v>轻工业</v>
          </cell>
          <cell r="B76" t="str">
            <v>大型</v>
          </cell>
          <cell r="C76" t="str">
            <v>外商投资企业</v>
          </cell>
          <cell r="D76">
            <v>98329.3</v>
          </cell>
        </row>
        <row r="77">
          <cell r="A77" t="str">
            <v>轻工业</v>
          </cell>
          <cell r="B77" t="str">
            <v>中型</v>
          </cell>
          <cell r="C77" t="str">
            <v>外商投资企业</v>
          </cell>
          <cell r="D77">
            <v>13162.02</v>
          </cell>
        </row>
        <row r="78">
          <cell r="A78" t="str">
            <v>轻工业</v>
          </cell>
          <cell r="B78" t="str">
            <v>中型</v>
          </cell>
          <cell r="C78" t="str">
            <v>集体企业</v>
          </cell>
          <cell r="D78">
            <v>85317.53</v>
          </cell>
        </row>
        <row r="79">
          <cell r="A79" t="str">
            <v>轻工业</v>
          </cell>
          <cell r="B79" t="str">
            <v>中型</v>
          </cell>
          <cell r="C79" t="str">
            <v>国有及国有控股企业</v>
          </cell>
          <cell r="D79">
            <v>24638.69</v>
          </cell>
        </row>
        <row r="80">
          <cell r="A80" t="str">
            <v>重工业</v>
          </cell>
          <cell r="B80" t="str">
            <v>大型</v>
          </cell>
          <cell r="C80" t="str">
            <v>国有及国有控股企业</v>
          </cell>
          <cell r="D80">
            <v>97692.67</v>
          </cell>
        </row>
        <row r="81">
          <cell r="A81" t="str">
            <v>重工业</v>
          </cell>
          <cell r="B81" t="str">
            <v>大型</v>
          </cell>
          <cell r="C81" t="str">
            <v>集体企业</v>
          </cell>
          <cell r="D81">
            <v>60876.03</v>
          </cell>
        </row>
        <row r="82">
          <cell r="A82" t="str">
            <v>重工业</v>
          </cell>
          <cell r="B82" t="str">
            <v>大型</v>
          </cell>
          <cell r="C82" t="str">
            <v>港澳台商投资企业</v>
          </cell>
          <cell r="D82">
            <v>84593.94</v>
          </cell>
        </row>
        <row r="83">
          <cell r="A83" t="str">
            <v>重工业</v>
          </cell>
          <cell r="B83" t="str">
            <v>小型</v>
          </cell>
          <cell r="C83" t="str">
            <v>集体企业</v>
          </cell>
          <cell r="D83">
            <v>18171.41</v>
          </cell>
        </row>
        <row r="84">
          <cell r="A84" t="str">
            <v>轻工业</v>
          </cell>
          <cell r="B84" t="str">
            <v>小型</v>
          </cell>
          <cell r="C84" t="str">
            <v>外商投资企业</v>
          </cell>
          <cell r="D84">
            <v>82533.440000000002</v>
          </cell>
        </row>
        <row r="85">
          <cell r="A85" t="str">
            <v>重工业</v>
          </cell>
          <cell r="B85" t="str">
            <v>大型</v>
          </cell>
          <cell r="C85" t="str">
            <v>国有及国有控股企业</v>
          </cell>
          <cell r="D85">
            <v>82070.52</v>
          </cell>
        </row>
        <row r="86">
          <cell r="A86" t="str">
            <v>轻工业</v>
          </cell>
          <cell r="B86" t="str">
            <v>中型</v>
          </cell>
          <cell r="C86" t="str">
            <v>集体企业</v>
          </cell>
          <cell r="D86">
            <v>35690.800000000003</v>
          </cell>
        </row>
        <row r="87">
          <cell r="A87" t="str">
            <v>重工业</v>
          </cell>
          <cell r="B87" t="str">
            <v>小型</v>
          </cell>
          <cell r="C87" t="str">
            <v>股份有限公司</v>
          </cell>
          <cell r="D87">
            <v>40459.35</v>
          </cell>
        </row>
        <row r="88">
          <cell r="A88" t="str">
            <v>轻工业</v>
          </cell>
          <cell r="B88" t="str">
            <v>小型</v>
          </cell>
          <cell r="C88" t="str">
            <v>股份有限公司</v>
          </cell>
          <cell r="D88">
            <v>72430.03</v>
          </cell>
        </row>
        <row r="89">
          <cell r="A89" t="str">
            <v>重工业</v>
          </cell>
          <cell r="B89" t="str">
            <v>中型</v>
          </cell>
          <cell r="C89" t="str">
            <v>港澳台商投资企业</v>
          </cell>
          <cell r="D89">
            <v>56427.75</v>
          </cell>
        </row>
        <row r="90">
          <cell r="A90" t="str">
            <v>轻工业</v>
          </cell>
          <cell r="B90" t="str">
            <v>中型</v>
          </cell>
          <cell r="C90" t="str">
            <v>港澳台商投资企业</v>
          </cell>
          <cell r="D90">
            <v>98044.94</v>
          </cell>
        </row>
        <row r="91">
          <cell r="A91" t="str">
            <v>轻工业</v>
          </cell>
          <cell r="B91" t="str">
            <v>中型</v>
          </cell>
          <cell r="C91" t="str">
            <v>外商投资企业</v>
          </cell>
          <cell r="D91">
            <v>20445.72</v>
          </cell>
        </row>
        <row r="92">
          <cell r="A92" t="str">
            <v>轻工业</v>
          </cell>
          <cell r="B92" t="str">
            <v>中型</v>
          </cell>
          <cell r="C92" t="str">
            <v>国有及国有控股企业</v>
          </cell>
          <cell r="D92">
            <v>18543.330000000002</v>
          </cell>
        </row>
        <row r="93">
          <cell r="A93" t="str">
            <v>轻工业</v>
          </cell>
          <cell r="B93" t="str">
            <v>中型</v>
          </cell>
          <cell r="C93" t="str">
            <v>外商投资企业</v>
          </cell>
          <cell r="D93">
            <v>35180.050000000003</v>
          </cell>
        </row>
        <row r="94">
          <cell r="A94" t="str">
            <v>重工业</v>
          </cell>
          <cell r="B94" t="str">
            <v>中型</v>
          </cell>
          <cell r="C94" t="str">
            <v>国有及国有控股企业</v>
          </cell>
          <cell r="D94">
            <v>24441.21</v>
          </cell>
        </row>
        <row r="95">
          <cell r="A95" t="str">
            <v>轻工业</v>
          </cell>
          <cell r="B95" t="str">
            <v>小型</v>
          </cell>
          <cell r="C95" t="str">
            <v>外商投资企业</v>
          </cell>
          <cell r="D95">
            <v>58244.639999999999</v>
          </cell>
        </row>
        <row r="96">
          <cell r="A96" t="str">
            <v>重工业</v>
          </cell>
          <cell r="B96" t="str">
            <v>小型</v>
          </cell>
          <cell r="C96" t="str">
            <v>港澳台商投资企业</v>
          </cell>
          <cell r="D96">
            <v>41759.379999999997</v>
          </cell>
        </row>
        <row r="97">
          <cell r="A97" t="str">
            <v>轻工业</v>
          </cell>
          <cell r="B97" t="str">
            <v>小型</v>
          </cell>
          <cell r="C97" t="str">
            <v>国有及国有控股企业</v>
          </cell>
          <cell r="D97">
            <v>40023</v>
          </cell>
        </row>
        <row r="98">
          <cell r="A98" t="str">
            <v>重工业</v>
          </cell>
          <cell r="B98" t="str">
            <v>中型</v>
          </cell>
          <cell r="C98" t="str">
            <v>股份有限公司</v>
          </cell>
          <cell r="D98">
            <v>86994.75</v>
          </cell>
        </row>
        <row r="99">
          <cell r="A99" t="str">
            <v>重工业</v>
          </cell>
          <cell r="B99" t="str">
            <v>大型</v>
          </cell>
          <cell r="C99" t="str">
            <v>国有及国有控股企业</v>
          </cell>
          <cell r="D99">
            <v>96618.05</v>
          </cell>
        </row>
        <row r="100">
          <cell r="A100" t="str">
            <v>重工业</v>
          </cell>
          <cell r="B100" t="str">
            <v>中型</v>
          </cell>
          <cell r="C100" t="str">
            <v>股份有限公司</v>
          </cell>
          <cell r="D100">
            <v>7021.26</v>
          </cell>
        </row>
        <row r="101">
          <cell r="A101" t="str">
            <v>轻工业</v>
          </cell>
          <cell r="B101" t="str">
            <v>中型</v>
          </cell>
          <cell r="C101" t="str">
            <v>集体企业</v>
          </cell>
          <cell r="D101">
            <v>76916.75</v>
          </cell>
        </row>
        <row r="102">
          <cell r="A102" t="str">
            <v>重工业</v>
          </cell>
          <cell r="B102" t="str">
            <v>中型</v>
          </cell>
          <cell r="C102" t="str">
            <v>外商投资企业</v>
          </cell>
          <cell r="D102">
            <v>20510.23</v>
          </cell>
        </row>
        <row r="103">
          <cell r="A103" t="str">
            <v>轻工业</v>
          </cell>
          <cell r="B103" t="str">
            <v>中型</v>
          </cell>
          <cell r="C103" t="str">
            <v>股份有限公司</v>
          </cell>
          <cell r="D103">
            <v>52081.35</v>
          </cell>
        </row>
        <row r="104">
          <cell r="A104" t="str">
            <v>重工业</v>
          </cell>
          <cell r="B104" t="str">
            <v>中型</v>
          </cell>
          <cell r="C104" t="str">
            <v>集体企业</v>
          </cell>
          <cell r="D104">
            <v>12040.72</v>
          </cell>
        </row>
        <row r="105">
          <cell r="A105" t="str">
            <v>轻工业</v>
          </cell>
          <cell r="B105" t="str">
            <v>中型</v>
          </cell>
          <cell r="C105" t="str">
            <v>港澳台商投资企业</v>
          </cell>
          <cell r="D105">
            <v>73051.990000000005</v>
          </cell>
        </row>
        <row r="106">
          <cell r="A106" t="str">
            <v>轻工业</v>
          </cell>
          <cell r="B106" t="str">
            <v>大型</v>
          </cell>
          <cell r="C106" t="str">
            <v>外商投资企业</v>
          </cell>
          <cell r="D106">
            <v>64698.879999999997</v>
          </cell>
        </row>
        <row r="107">
          <cell r="A107" t="str">
            <v>轻工业</v>
          </cell>
          <cell r="B107" t="str">
            <v>大型</v>
          </cell>
          <cell r="C107" t="str">
            <v>国有及国有控股企业</v>
          </cell>
          <cell r="D107">
            <v>28791.17</v>
          </cell>
        </row>
        <row r="108">
          <cell r="A108" t="str">
            <v>重工业</v>
          </cell>
          <cell r="B108" t="str">
            <v>大型</v>
          </cell>
          <cell r="C108" t="str">
            <v>集体企业</v>
          </cell>
          <cell r="D108">
            <v>79173.929999999993</v>
          </cell>
        </row>
        <row r="109">
          <cell r="A109" t="str">
            <v>轻工业</v>
          </cell>
          <cell r="B109" t="str">
            <v>中型</v>
          </cell>
          <cell r="C109" t="str">
            <v>国有及国有控股企业</v>
          </cell>
          <cell r="D109">
            <v>88266.66</v>
          </cell>
        </row>
        <row r="110">
          <cell r="A110" t="str">
            <v>轻工业</v>
          </cell>
          <cell r="B110" t="str">
            <v>大型</v>
          </cell>
          <cell r="C110" t="str">
            <v>股份有限公司</v>
          </cell>
          <cell r="D110">
            <v>88024.12</v>
          </cell>
        </row>
        <row r="111">
          <cell r="A111" t="str">
            <v>重工业</v>
          </cell>
          <cell r="B111" t="str">
            <v>大型</v>
          </cell>
          <cell r="C111" t="str">
            <v>外商投资企业</v>
          </cell>
          <cell r="D111">
            <v>5970.86</v>
          </cell>
        </row>
        <row r="112">
          <cell r="A112" t="str">
            <v>重工业</v>
          </cell>
          <cell r="B112" t="str">
            <v>大型</v>
          </cell>
          <cell r="C112" t="str">
            <v>外商投资企业</v>
          </cell>
          <cell r="D112">
            <v>60996.23</v>
          </cell>
        </row>
        <row r="113">
          <cell r="A113" t="str">
            <v>重工业</v>
          </cell>
          <cell r="B113" t="str">
            <v>大型</v>
          </cell>
          <cell r="C113" t="str">
            <v>港澳台商投资企业</v>
          </cell>
          <cell r="D113">
            <v>65077.91</v>
          </cell>
        </row>
        <row r="114">
          <cell r="A114" t="str">
            <v>重工业</v>
          </cell>
          <cell r="B114" t="str">
            <v>小型</v>
          </cell>
          <cell r="C114" t="str">
            <v>外商投资企业</v>
          </cell>
          <cell r="D114">
            <v>51271.76</v>
          </cell>
        </row>
        <row r="115">
          <cell r="A115" t="str">
            <v>轻工业</v>
          </cell>
          <cell r="B115" t="str">
            <v>小型</v>
          </cell>
          <cell r="C115" t="str">
            <v>港澳台商投资企业</v>
          </cell>
          <cell r="D115">
            <v>61059.42</v>
          </cell>
        </row>
        <row r="116">
          <cell r="A116" t="str">
            <v>轻工业</v>
          </cell>
          <cell r="B116" t="str">
            <v>大型</v>
          </cell>
          <cell r="C116" t="str">
            <v>集体企业</v>
          </cell>
          <cell r="D116">
            <v>85650.38</v>
          </cell>
        </row>
        <row r="117">
          <cell r="A117" t="str">
            <v>轻工业</v>
          </cell>
          <cell r="B117" t="str">
            <v>中型</v>
          </cell>
          <cell r="C117" t="str">
            <v>港澳台商投资企业</v>
          </cell>
          <cell r="D117">
            <v>93494.33</v>
          </cell>
        </row>
        <row r="118">
          <cell r="A118" t="str">
            <v>轻工业</v>
          </cell>
          <cell r="B118" t="str">
            <v>小型</v>
          </cell>
          <cell r="C118" t="str">
            <v>国有及国有控股企业</v>
          </cell>
          <cell r="D118">
            <v>28990.73</v>
          </cell>
        </row>
        <row r="119">
          <cell r="A119" t="str">
            <v>轻工业</v>
          </cell>
          <cell r="B119" t="str">
            <v>中型</v>
          </cell>
          <cell r="C119" t="str">
            <v>港澳台商投资企业</v>
          </cell>
          <cell r="D119">
            <v>39134.300000000003</v>
          </cell>
        </row>
        <row r="120">
          <cell r="A120" t="str">
            <v>重工业</v>
          </cell>
          <cell r="B120" t="str">
            <v>中型</v>
          </cell>
          <cell r="C120" t="str">
            <v>国有及国有控股企业</v>
          </cell>
          <cell r="D120">
            <v>59100.93</v>
          </cell>
        </row>
        <row r="121">
          <cell r="A121" t="str">
            <v>重工业</v>
          </cell>
          <cell r="B121" t="str">
            <v>小型</v>
          </cell>
          <cell r="C121" t="str">
            <v>外商投资企业</v>
          </cell>
          <cell r="D121">
            <v>51346.73</v>
          </cell>
        </row>
        <row r="122">
          <cell r="A122" t="str">
            <v>轻工业</v>
          </cell>
          <cell r="B122" t="str">
            <v>小型</v>
          </cell>
          <cell r="C122" t="str">
            <v>股份有限公司</v>
          </cell>
          <cell r="D122">
            <v>97389.19</v>
          </cell>
        </row>
        <row r="123">
          <cell r="A123" t="str">
            <v>轻工业</v>
          </cell>
          <cell r="B123" t="str">
            <v>中型</v>
          </cell>
          <cell r="C123" t="str">
            <v>外商投资企业</v>
          </cell>
          <cell r="D123">
            <v>80402.77</v>
          </cell>
        </row>
        <row r="124">
          <cell r="A124" t="str">
            <v>轻工业</v>
          </cell>
          <cell r="B124" t="str">
            <v>小型</v>
          </cell>
          <cell r="C124" t="str">
            <v>股份有限公司</v>
          </cell>
          <cell r="D124">
            <v>56729.65</v>
          </cell>
        </row>
        <row r="125">
          <cell r="A125" t="str">
            <v>轻工业</v>
          </cell>
          <cell r="B125" t="str">
            <v>小型</v>
          </cell>
          <cell r="C125" t="str">
            <v>外商投资企业</v>
          </cell>
          <cell r="D125">
            <v>63038.03</v>
          </cell>
        </row>
        <row r="126">
          <cell r="A126" t="str">
            <v>轻工业</v>
          </cell>
          <cell r="B126" t="str">
            <v>大型</v>
          </cell>
          <cell r="C126" t="str">
            <v>港澳台商投资企业</v>
          </cell>
          <cell r="D126">
            <v>17631.28</v>
          </cell>
        </row>
        <row r="127">
          <cell r="A127" t="str">
            <v>轻工业</v>
          </cell>
          <cell r="B127" t="str">
            <v>大型</v>
          </cell>
          <cell r="C127" t="str">
            <v>国有及国有控股企业</v>
          </cell>
          <cell r="D127">
            <v>77979.97</v>
          </cell>
        </row>
        <row r="128">
          <cell r="A128" t="str">
            <v>轻工业</v>
          </cell>
          <cell r="B128" t="str">
            <v>大型</v>
          </cell>
          <cell r="C128" t="str">
            <v>外商投资企业</v>
          </cell>
          <cell r="D128">
            <v>62456.34</v>
          </cell>
        </row>
        <row r="129">
          <cell r="A129" t="str">
            <v>轻工业</v>
          </cell>
          <cell r="B129" t="str">
            <v>大型</v>
          </cell>
          <cell r="C129" t="str">
            <v>港澳台商投资企业</v>
          </cell>
          <cell r="D129">
            <v>4824.6000000000004</v>
          </cell>
        </row>
        <row r="130">
          <cell r="A130" t="str">
            <v>重工业</v>
          </cell>
          <cell r="B130" t="str">
            <v>小型</v>
          </cell>
          <cell r="C130" t="str">
            <v>股份有限公司</v>
          </cell>
          <cell r="D130">
            <v>3563.57</v>
          </cell>
        </row>
        <row r="131">
          <cell r="A131" t="str">
            <v>轻工业</v>
          </cell>
          <cell r="B131" t="str">
            <v>小型</v>
          </cell>
          <cell r="C131" t="str">
            <v>国有及国有控股企业</v>
          </cell>
          <cell r="D131">
            <v>18988.759999999998</v>
          </cell>
        </row>
        <row r="132">
          <cell r="A132" t="str">
            <v>重工业</v>
          </cell>
          <cell r="B132" t="str">
            <v>小型</v>
          </cell>
          <cell r="C132" t="str">
            <v>国有及国有控股企业</v>
          </cell>
          <cell r="D132">
            <v>9784.1</v>
          </cell>
        </row>
        <row r="133">
          <cell r="A133" t="str">
            <v>重工业</v>
          </cell>
          <cell r="B133" t="str">
            <v>小型</v>
          </cell>
          <cell r="C133" t="str">
            <v>港澳台商投资企业</v>
          </cell>
          <cell r="D133">
            <v>10806.28</v>
          </cell>
        </row>
        <row r="134">
          <cell r="A134" t="str">
            <v>轻工业</v>
          </cell>
          <cell r="B134" t="str">
            <v>小型</v>
          </cell>
          <cell r="C134" t="str">
            <v>外商投资企业</v>
          </cell>
          <cell r="D134">
            <v>49647.9</v>
          </cell>
        </row>
        <row r="135">
          <cell r="A135" t="str">
            <v>重工业</v>
          </cell>
          <cell r="B135" t="str">
            <v>大型</v>
          </cell>
          <cell r="C135" t="str">
            <v>国有及国有控股企业</v>
          </cell>
          <cell r="D135">
            <v>13201.48</v>
          </cell>
        </row>
        <row r="136">
          <cell r="A136" t="str">
            <v>轻工业</v>
          </cell>
          <cell r="B136" t="str">
            <v>小型</v>
          </cell>
          <cell r="C136" t="str">
            <v>港澳台商投资企业</v>
          </cell>
          <cell r="D136">
            <v>72906.03</v>
          </cell>
        </row>
        <row r="137">
          <cell r="A137" t="str">
            <v>轻工业</v>
          </cell>
          <cell r="B137" t="str">
            <v>大型</v>
          </cell>
          <cell r="C137" t="str">
            <v>股份有限公司</v>
          </cell>
          <cell r="D137">
            <v>31277.08</v>
          </cell>
        </row>
        <row r="138">
          <cell r="A138" t="str">
            <v>重工业</v>
          </cell>
          <cell r="B138" t="str">
            <v>大型</v>
          </cell>
          <cell r="C138" t="str">
            <v>集体企业</v>
          </cell>
          <cell r="D138">
            <v>93323.68</v>
          </cell>
        </row>
        <row r="139">
          <cell r="A139" t="str">
            <v>轻工业</v>
          </cell>
          <cell r="B139" t="str">
            <v>大型</v>
          </cell>
          <cell r="C139" t="str">
            <v>国有及国有控股企业</v>
          </cell>
          <cell r="D139">
            <v>52956.639999999999</v>
          </cell>
        </row>
        <row r="140">
          <cell r="A140" t="str">
            <v>重工业</v>
          </cell>
          <cell r="B140" t="str">
            <v>中型</v>
          </cell>
          <cell r="C140" t="str">
            <v>股份有限公司</v>
          </cell>
          <cell r="D140">
            <v>8260.58</v>
          </cell>
        </row>
        <row r="141">
          <cell r="A141" t="str">
            <v>轻工业</v>
          </cell>
          <cell r="B141" t="str">
            <v>中型</v>
          </cell>
          <cell r="C141" t="str">
            <v>港澳台商投资企业</v>
          </cell>
          <cell r="D141">
            <v>48322.31</v>
          </cell>
        </row>
        <row r="142">
          <cell r="A142" t="str">
            <v>重工业</v>
          </cell>
          <cell r="B142" t="str">
            <v>大型</v>
          </cell>
          <cell r="C142" t="str">
            <v>港澳台商投资企业</v>
          </cell>
          <cell r="D142">
            <v>94563.72</v>
          </cell>
        </row>
        <row r="143">
          <cell r="A143" t="str">
            <v>重工业</v>
          </cell>
          <cell r="B143" t="str">
            <v>中型</v>
          </cell>
          <cell r="C143" t="str">
            <v>国有及国有控股企业</v>
          </cell>
          <cell r="D143">
            <v>31410.19</v>
          </cell>
        </row>
        <row r="144">
          <cell r="A144" t="str">
            <v>轻工业</v>
          </cell>
          <cell r="B144" t="str">
            <v>中型</v>
          </cell>
          <cell r="C144" t="str">
            <v>国有及国有控股企业</v>
          </cell>
          <cell r="D144">
            <v>580.66</v>
          </cell>
        </row>
        <row r="145">
          <cell r="A145" t="str">
            <v>重工业</v>
          </cell>
          <cell r="B145" t="str">
            <v>大型</v>
          </cell>
          <cell r="C145" t="str">
            <v>集体企业</v>
          </cell>
          <cell r="D145">
            <v>23815.87</v>
          </cell>
        </row>
        <row r="146">
          <cell r="A146" t="str">
            <v>重工业</v>
          </cell>
          <cell r="B146" t="str">
            <v>小型</v>
          </cell>
          <cell r="C146" t="str">
            <v>外商投资企业</v>
          </cell>
          <cell r="D146">
            <v>16824.98</v>
          </cell>
        </row>
        <row r="147">
          <cell r="A147" t="str">
            <v>重工业</v>
          </cell>
          <cell r="B147" t="str">
            <v>小型</v>
          </cell>
          <cell r="C147" t="str">
            <v>国有及国有控股企业</v>
          </cell>
          <cell r="D147">
            <v>59300.17</v>
          </cell>
        </row>
        <row r="148">
          <cell r="A148" t="str">
            <v>重工业</v>
          </cell>
          <cell r="B148" t="str">
            <v>大型</v>
          </cell>
          <cell r="C148" t="str">
            <v>股份有限公司</v>
          </cell>
          <cell r="D148">
            <v>8134.72</v>
          </cell>
        </row>
        <row r="149">
          <cell r="A149" t="str">
            <v>轻工业</v>
          </cell>
          <cell r="B149" t="str">
            <v>中型</v>
          </cell>
          <cell r="C149" t="str">
            <v>集体企业</v>
          </cell>
          <cell r="D149">
            <v>12173.9</v>
          </cell>
        </row>
        <row r="150">
          <cell r="A150" t="str">
            <v>轻工业</v>
          </cell>
          <cell r="B150" t="str">
            <v>中型</v>
          </cell>
          <cell r="C150" t="str">
            <v>外商投资企业</v>
          </cell>
          <cell r="D150">
            <v>81019.95</v>
          </cell>
        </row>
        <row r="151">
          <cell r="A151" t="str">
            <v>轻工业</v>
          </cell>
          <cell r="B151" t="str">
            <v>小型</v>
          </cell>
          <cell r="C151" t="str">
            <v>港澳台商投资企业</v>
          </cell>
          <cell r="D151">
            <v>18074.650000000001</v>
          </cell>
        </row>
        <row r="152">
          <cell r="A152" t="str">
            <v>重工业</v>
          </cell>
          <cell r="B152" t="str">
            <v>小型</v>
          </cell>
          <cell r="C152" t="str">
            <v>港澳台商投资企业</v>
          </cell>
          <cell r="D152">
            <v>32319.29</v>
          </cell>
        </row>
        <row r="153">
          <cell r="A153" t="str">
            <v>重工业</v>
          </cell>
          <cell r="B153" t="str">
            <v>大型</v>
          </cell>
          <cell r="C153" t="str">
            <v>港澳台商投资企业</v>
          </cell>
          <cell r="D153">
            <v>28917.200000000001</v>
          </cell>
        </row>
        <row r="154">
          <cell r="A154" t="str">
            <v>轻工业</v>
          </cell>
          <cell r="B154" t="str">
            <v>大型</v>
          </cell>
          <cell r="C154" t="str">
            <v>集体企业</v>
          </cell>
          <cell r="D154">
            <v>16939.53</v>
          </cell>
        </row>
        <row r="155">
          <cell r="A155" t="str">
            <v>轻工业</v>
          </cell>
          <cell r="B155" t="str">
            <v>小型</v>
          </cell>
          <cell r="C155" t="str">
            <v>股份有限公司</v>
          </cell>
          <cell r="D155">
            <v>84304.69</v>
          </cell>
        </row>
        <row r="156">
          <cell r="A156" t="str">
            <v>重工业</v>
          </cell>
          <cell r="B156" t="str">
            <v>小型</v>
          </cell>
          <cell r="C156" t="str">
            <v>集体企业</v>
          </cell>
          <cell r="D156">
            <v>77487.16</v>
          </cell>
        </row>
        <row r="157">
          <cell r="A157" t="str">
            <v>轻工业</v>
          </cell>
          <cell r="B157" t="str">
            <v>小型</v>
          </cell>
          <cell r="C157" t="str">
            <v>股份有限公司</v>
          </cell>
          <cell r="D157">
            <v>22522.62</v>
          </cell>
        </row>
        <row r="158">
          <cell r="A158" t="str">
            <v>轻工业</v>
          </cell>
          <cell r="B158" t="str">
            <v>中型</v>
          </cell>
          <cell r="C158" t="str">
            <v>股份有限公司</v>
          </cell>
          <cell r="D158">
            <v>15777.65</v>
          </cell>
        </row>
        <row r="159">
          <cell r="A159" t="str">
            <v>重工业</v>
          </cell>
          <cell r="B159" t="str">
            <v>中型</v>
          </cell>
          <cell r="C159" t="str">
            <v>外商投资企业</v>
          </cell>
          <cell r="D159">
            <v>73470.55</v>
          </cell>
        </row>
        <row r="160">
          <cell r="A160" t="str">
            <v>轻工业</v>
          </cell>
          <cell r="B160" t="str">
            <v>小型</v>
          </cell>
          <cell r="C160" t="str">
            <v>国有及国有控股企业</v>
          </cell>
          <cell r="D160">
            <v>75394.3</v>
          </cell>
        </row>
        <row r="161">
          <cell r="A161" t="str">
            <v>轻工业</v>
          </cell>
          <cell r="B161" t="str">
            <v>大型</v>
          </cell>
          <cell r="C161" t="str">
            <v>港澳台商投资企业</v>
          </cell>
          <cell r="D161">
            <v>68571.53</v>
          </cell>
        </row>
        <row r="162">
          <cell r="A162" t="str">
            <v>轻工业</v>
          </cell>
          <cell r="B162" t="str">
            <v>小型</v>
          </cell>
          <cell r="C162" t="str">
            <v>国有及国有控股企业</v>
          </cell>
          <cell r="D162">
            <v>62156.88</v>
          </cell>
        </row>
        <row r="163">
          <cell r="A163" t="str">
            <v>轻工业</v>
          </cell>
          <cell r="B163" t="str">
            <v>小型</v>
          </cell>
          <cell r="C163" t="str">
            <v>外商投资企业</v>
          </cell>
          <cell r="D163">
            <v>63813.31</v>
          </cell>
        </row>
        <row r="164">
          <cell r="A164" t="str">
            <v>轻工业</v>
          </cell>
          <cell r="B164" t="str">
            <v>大型</v>
          </cell>
          <cell r="C164" t="str">
            <v>股份有限公司</v>
          </cell>
          <cell r="D164">
            <v>31616.34</v>
          </cell>
        </row>
        <row r="165">
          <cell r="A165" t="str">
            <v>轻工业</v>
          </cell>
          <cell r="B165" t="str">
            <v>大型</v>
          </cell>
          <cell r="C165" t="str">
            <v>港澳台商投资企业</v>
          </cell>
          <cell r="D165">
            <v>25192.37</v>
          </cell>
        </row>
        <row r="166">
          <cell r="A166" t="str">
            <v>轻工业</v>
          </cell>
          <cell r="B166" t="str">
            <v>中型</v>
          </cell>
          <cell r="C166" t="str">
            <v>港澳台商投资企业</v>
          </cell>
          <cell r="D166">
            <v>35425.300000000003</v>
          </cell>
        </row>
        <row r="167">
          <cell r="A167" t="str">
            <v>重工业</v>
          </cell>
          <cell r="B167" t="str">
            <v>大型</v>
          </cell>
          <cell r="C167" t="str">
            <v>港澳台商投资企业</v>
          </cell>
          <cell r="D167">
            <v>32980.089999999997</v>
          </cell>
        </row>
        <row r="168">
          <cell r="A168" t="str">
            <v>轻工业</v>
          </cell>
          <cell r="B168" t="str">
            <v>中型</v>
          </cell>
          <cell r="C168" t="str">
            <v>外商投资企业</v>
          </cell>
          <cell r="D168">
            <v>18639.7</v>
          </cell>
        </row>
        <row r="169">
          <cell r="A169" t="str">
            <v>轻工业</v>
          </cell>
          <cell r="B169" t="str">
            <v>小型</v>
          </cell>
          <cell r="C169" t="str">
            <v>国有及国有控股企业</v>
          </cell>
          <cell r="D169">
            <v>81618.259999999995</v>
          </cell>
        </row>
        <row r="170">
          <cell r="A170" t="str">
            <v>重工业</v>
          </cell>
          <cell r="B170" t="str">
            <v>中型</v>
          </cell>
          <cell r="C170" t="str">
            <v>港澳台商投资企业</v>
          </cell>
          <cell r="D170">
            <v>94020.78</v>
          </cell>
        </row>
        <row r="171">
          <cell r="A171" t="str">
            <v>轻工业</v>
          </cell>
          <cell r="B171" t="str">
            <v>小型</v>
          </cell>
          <cell r="C171" t="str">
            <v>股份有限公司</v>
          </cell>
          <cell r="D171">
            <v>99243.94</v>
          </cell>
        </row>
        <row r="172">
          <cell r="A172" t="str">
            <v>重工业</v>
          </cell>
          <cell r="B172" t="str">
            <v>小型</v>
          </cell>
          <cell r="C172" t="str">
            <v>港澳台商投资企业</v>
          </cell>
          <cell r="D172">
            <v>95850.63</v>
          </cell>
        </row>
        <row r="173">
          <cell r="A173" t="str">
            <v>轻工业</v>
          </cell>
          <cell r="B173" t="str">
            <v>大型</v>
          </cell>
          <cell r="C173" t="str">
            <v>股份有限公司</v>
          </cell>
          <cell r="D173">
            <v>70143.17</v>
          </cell>
        </row>
        <row r="174">
          <cell r="A174" t="str">
            <v>轻工业</v>
          </cell>
          <cell r="B174" t="str">
            <v>小型</v>
          </cell>
          <cell r="C174" t="str">
            <v>股份有限公司</v>
          </cell>
          <cell r="D174">
            <v>97238.79</v>
          </cell>
        </row>
        <row r="175">
          <cell r="A175" t="str">
            <v>轻工业</v>
          </cell>
          <cell r="B175" t="str">
            <v>大型</v>
          </cell>
          <cell r="C175" t="str">
            <v>国有及国有控股企业</v>
          </cell>
          <cell r="D175">
            <v>3257.32</v>
          </cell>
        </row>
        <row r="176">
          <cell r="A176" t="str">
            <v>重工业</v>
          </cell>
          <cell r="B176" t="str">
            <v>大型</v>
          </cell>
          <cell r="C176" t="str">
            <v>股份有限公司</v>
          </cell>
          <cell r="D176">
            <v>11269.99</v>
          </cell>
        </row>
        <row r="177">
          <cell r="A177" t="str">
            <v>轻工业</v>
          </cell>
          <cell r="B177" t="str">
            <v>小型</v>
          </cell>
          <cell r="C177" t="str">
            <v>股份有限公司</v>
          </cell>
          <cell r="D177">
            <v>3715.15</v>
          </cell>
        </row>
        <row r="178">
          <cell r="A178" t="str">
            <v>重工业</v>
          </cell>
          <cell r="B178" t="str">
            <v>大型</v>
          </cell>
          <cell r="C178" t="str">
            <v>港澳台商投资企业</v>
          </cell>
          <cell r="D178">
            <v>7631.13</v>
          </cell>
        </row>
        <row r="179">
          <cell r="A179" t="str">
            <v>轻工业</v>
          </cell>
          <cell r="B179" t="str">
            <v>大型</v>
          </cell>
          <cell r="C179" t="str">
            <v>集体企业</v>
          </cell>
          <cell r="D179">
            <v>66459.86</v>
          </cell>
        </row>
        <row r="180">
          <cell r="A180" t="str">
            <v>重工业</v>
          </cell>
          <cell r="B180" t="str">
            <v>小型</v>
          </cell>
          <cell r="C180" t="str">
            <v>集体企业</v>
          </cell>
          <cell r="D180">
            <v>23443.63</v>
          </cell>
        </row>
        <row r="181">
          <cell r="A181" t="str">
            <v>轻工业</v>
          </cell>
          <cell r="B181" t="str">
            <v>大型</v>
          </cell>
          <cell r="C181" t="str">
            <v>国有及国有控股企业</v>
          </cell>
          <cell r="D181">
            <v>61059.73</v>
          </cell>
        </row>
        <row r="182">
          <cell r="A182" t="str">
            <v>轻工业</v>
          </cell>
          <cell r="B182" t="str">
            <v>小型</v>
          </cell>
          <cell r="C182" t="str">
            <v>股份有限公司</v>
          </cell>
          <cell r="D182">
            <v>88757.4</v>
          </cell>
        </row>
        <row r="183">
          <cell r="A183" t="str">
            <v>重工业</v>
          </cell>
          <cell r="B183" t="str">
            <v>大型</v>
          </cell>
          <cell r="C183" t="str">
            <v>外商投资企业</v>
          </cell>
          <cell r="D183">
            <v>7536.54</v>
          </cell>
        </row>
        <row r="184">
          <cell r="A184" t="str">
            <v>重工业</v>
          </cell>
          <cell r="B184" t="str">
            <v>中型</v>
          </cell>
          <cell r="C184" t="str">
            <v>集体企业</v>
          </cell>
          <cell r="D184">
            <v>37500.01</v>
          </cell>
        </row>
        <row r="185">
          <cell r="A185" t="str">
            <v>轻工业</v>
          </cell>
          <cell r="B185" t="str">
            <v>小型</v>
          </cell>
          <cell r="C185" t="str">
            <v>集体企业</v>
          </cell>
          <cell r="D185">
            <v>8714.32</v>
          </cell>
        </row>
        <row r="186">
          <cell r="A186" t="str">
            <v>重工业</v>
          </cell>
          <cell r="B186" t="str">
            <v>中型</v>
          </cell>
          <cell r="C186" t="str">
            <v>外商投资企业</v>
          </cell>
          <cell r="D186">
            <v>4502.09</v>
          </cell>
        </row>
        <row r="187">
          <cell r="A187" t="str">
            <v>重工业</v>
          </cell>
          <cell r="B187" t="str">
            <v>大型</v>
          </cell>
          <cell r="C187" t="str">
            <v>股份有限公司</v>
          </cell>
          <cell r="D187">
            <v>36126.29</v>
          </cell>
        </row>
        <row r="188">
          <cell r="A188" t="str">
            <v>轻工业</v>
          </cell>
          <cell r="B188" t="str">
            <v>中型</v>
          </cell>
          <cell r="C188" t="str">
            <v>股份有限公司</v>
          </cell>
          <cell r="D188">
            <v>17442.73</v>
          </cell>
        </row>
        <row r="189">
          <cell r="A189" t="str">
            <v>轻工业</v>
          </cell>
          <cell r="B189" t="str">
            <v>大型</v>
          </cell>
          <cell r="C189" t="str">
            <v>股份有限公司</v>
          </cell>
          <cell r="D189">
            <v>26207.02</v>
          </cell>
        </row>
        <row r="190">
          <cell r="A190" t="str">
            <v>重工业</v>
          </cell>
          <cell r="B190" t="str">
            <v>中型</v>
          </cell>
          <cell r="C190" t="str">
            <v>国有及国有控股企业</v>
          </cell>
          <cell r="D190">
            <v>304.60000000000002</v>
          </cell>
        </row>
        <row r="191">
          <cell r="A191" t="str">
            <v>轻工业</v>
          </cell>
          <cell r="B191" t="str">
            <v>小型</v>
          </cell>
          <cell r="C191" t="str">
            <v>港澳台商投资企业</v>
          </cell>
          <cell r="D191">
            <v>12625.84</v>
          </cell>
        </row>
        <row r="192">
          <cell r="A192" t="str">
            <v>重工业</v>
          </cell>
          <cell r="B192" t="str">
            <v>小型</v>
          </cell>
          <cell r="C192" t="str">
            <v>股份有限公司</v>
          </cell>
          <cell r="D192">
            <v>19540.98</v>
          </cell>
        </row>
        <row r="193">
          <cell r="A193" t="str">
            <v>重工业</v>
          </cell>
          <cell r="B193" t="str">
            <v>大型</v>
          </cell>
          <cell r="C193" t="str">
            <v>股份有限公司</v>
          </cell>
          <cell r="D193">
            <v>33061.56</v>
          </cell>
        </row>
        <row r="194">
          <cell r="A194" t="str">
            <v>重工业</v>
          </cell>
          <cell r="B194" t="str">
            <v>中型</v>
          </cell>
          <cell r="C194" t="str">
            <v>集体企业</v>
          </cell>
          <cell r="D194">
            <v>18694.79</v>
          </cell>
        </row>
        <row r="195">
          <cell r="A195" t="str">
            <v>轻工业</v>
          </cell>
          <cell r="B195" t="str">
            <v>大型</v>
          </cell>
          <cell r="C195" t="str">
            <v>港澳台商投资企业</v>
          </cell>
          <cell r="D195">
            <v>22622.52</v>
          </cell>
        </row>
        <row r="196">
          <cell r="A196" t="str">
            <v>轻工业</v>
          </cell>
          <cell r="B196" t="str">
            <v>中型</v>
          </cell>
          <cell r="C196" t="str">
            <v>集体企业</v>
          </cell>
          <cell r="D196">
            <v>96918.51</v>
          </cell>
        </row>
        <row r="197">
          <cell r="A197" t="str">
            <v>轻工业</v>
          </cell>
          <cell r="B197" t="str">
            <v>大型</v>
          </cell>
          <cell r="C197" t="str">
            <v>股份有限公司</v>
          </cell>
          <cell r="D197">
            <v>57864.66</v>
          </cell>
        </row>
        <row r="198">
          <cell r="A198" t="str">
            <v>重工业</v>
          </cell>
          <cell r="B198" t="str">
            <v>大型</v>
          </cell>
          <cell r="C198" t="str">
            <v>港澳台商投资企业</v>
          </cell>
          <cell r="D198">
            <v>9973.5</v>
          </cell>
        </row>
        <row r="199">
          <cell r="A199" t="str">
            <v>轻工业</v>
          </cell>
          <cell r="B199" t="str">
            <v>小型</v>
          </cell>
          <cell r="C199" t="str">
            <v>外商投资企业</v>
          </cell>
          <cell r="D199">
            <v>70901.440000000002</v>
          </cell>
        </row>
        <row r="200">
          <cell r="A200" t="str">
            <v>轻工业</v>
          </cell>
          <cell r="B200" t="str">
            <v>中型</v>
          </cell>
          <cell r="C200" t="str">
            <v>外商投资企业</v>
          </cell>
          <cell r="D200">
            <v>44194.67</v>
          </cell>
        </row>
        <row r="201">
          <cell r="A201" t="str">
            <v>轻工业</v>
          </cell>
          <cell r="B201" t="str">
            <v>大型</v>
          </cell>
          <cell r="C201" t="str">
            <v>外商投资企业</v>
          </cell>
          <cell r="D201">
            <v>56968.5</v>
          </cell>
        </row>
        <row r="202">
          <cell r="A202" t="str">
            <v>重工业</v>
          </cell>
          <cell r="B202" t="str">
            <v>大型</v>
          </cell>
          <cell r="C202" t="str">
            <v>国有及国有控股企业</v>
          </cell>
          <cell r="D202">
            <v>8755.67</v>
          </cell>
        </row>
        <row r="203">
          <cell r="A203" t="str">
            <v>轻工业</v>
          </cell>
          <cell r="B203" t="str">
            <v>大型</v>
          </cell>
          <cell r="C203" t="str">
            <v>外商投资企业</v>
          </cell>
          <cell r="D203">
            <v>10524.85</v>
          </cell>
        </row>
        <row r="204">
          <cell r="A204" t="str">
            <v>轻工业</v>
          </cell>
          <cell r="B204" t="str">
            <v>中型</v>
          </cell>
          <cell r="C204" t="str">
            <v>集体企业</v>
          </cell>
          <cell r="D204">
            <v>85643.26</v>
          </cell>
        </row>
        <row r="205">
          <cell r="A205" t="str">
            <v>重工业</v>
          </cell>
          <cell r="B205" t="str">
            <v>中型</v>
          </cell>
          <cell r="C205" t="str">
            <v>股份有限公司</v>
          </cell>
          <cell r="D205">
            <v>23565.4</v>
          </cell>
        </row>
        <row r="206">
          <cell r="A206" t="str">
            <v>轻工业</v>
          </cell>
          <cell r="B206" t="str">
            <v>中型</v>
          </cell>
          <cell r="C206" t="str">
            <v>集体企业</v>
          </cell>
          <cell r="D206">
            <v>56951.03</v>
          </cell>
        </row>
        <row r="207">
          <cell r="A207" t="str">
            <v>轻工业</v>
          </cell>
          <cell r="B207" t="str">
            <v>大型</v>
          </cell>
          <cell r="C207" t="str">
            <v>集体企业</v>
          </cell>
          <cell r="D207">
            <v>37158.29</v>
          </cell>
        </row>
        <row r="208">
          <cell r="A208" t="str">
            <v>重工业</v>
          </cell>
          <cell r="B208" t="str">
            <v>小型</v>
          </cell>
          <cell r="C208" t="str">
            <v>集体企业</v>
          </cell>
          <cell r="D208">
            <v>52671.72</v>
          </cell>
        </row>
        <row r="209">
          <cell r="A209" t="str">
            <v>轻工业</v>
          </cell>
          <cell r="B209" t="str">
            <v>大型</v>
          </cell>
          <cell r="C209" t="str">
            <v>外商投资企业</v>
          </cell>
          <cell r="D209">
            <v>10074.24</v>
          </cell>
        </row>
        <row r="210">
          <cell r="A210" t="str">
            <v>重工业</v>
          </cell>
          <cell r="B210" t="str">
            <v>大型</v>
          </cell>
          <cell r="C210" t="str">
            <v>外商投资企业</v>
          </cell>
          <cell r="D210">
            <v>60277.55</v>
          </cell>
        </row>
        <row r="211">
          <cell r="A211" t="str">
            <v>重工业</v>
          </cell>
          <cell r="B211" t="str">
            <v>中型</v>
          </cell>
          <cell r="C211" t="str">
            <v>港澳台商投资企业</v>
          </cell>
          <cell r="D211">
            <v>6924.83</v>
          </cell>
        </row>
        <row r="212">
          <cell r="A212" t="str">
            <v>轻工业</v>
          </cell>
          <cell r="B212" t="str">
            <v>小型</v>
          </cell>
          <cell r="C212" t="str">
            <v>集体企业</v>
          </cell>
          <cell r="D212">
            <v>29895.54</v>
          </cell>
        </row>
        <row r="213">
          <cell r="A213" t="str">
            <v>重工业</v>
          </cell>
          <cell r="B213" t="str">
            <v>小型</v>
          </cell>
          <cell r="C213" t="str">
            <v>集体企业</v>
          </cell>
          <cell r="D213">
            <v>25210.48</v>
          </cell>
        </row>
        <row r="214">
          <cell r="A214" t="str">
            <v>重工业</v>
          </cell>
          <cell r="B214" t="str">
            <v>大型</v>
          </cell>
          <cell r="C214" t="str">
            <v>集体企业</v>
          </cell>
          <cell r="D214">
            <v>13214.57</v>
          </cell>
        </row>
        <row r="215">
          <cell r="A215" t="str">
            <v>重工业</v>
          </cell>
          <cell r="B215" t="str">
            <v>小型</v>
          </cell>
          <cell r="C215" t="str">
            <v>港澳台商投资企业</v>
          </cell>
          <cell r="D215">
            <v>1382.63</v>
          </cell>
        </row>
        <row r="216">
          <cell r="A216" t="str">
            <v>轻工业</v>
          </cell>
          <cell r="B216" t="str">
            <v>大型</v>
          </cell>
          <cell r="C216" t="str">
            <v>外商投资企业</v>
          </cell>
          <cell r="D216">
            <v>99979.1</v>
          </cell>
        </row>
        <row r="217">
          <cell r="A217" t="str">
            <v>重工业</v>
          </cell>
          <cell r="B217" t="str">
            <v>中型</v>
          </cell>
          <cell r="C217" t="str">
            <v>股份有限公司</v>
          </cell>
          <cell r="D217">
            <v>15861.79</v>
          </cell>
        </row>
        <row r="218">
          <cell r="A218" t="str">
            <v>轻工业</v>
          </cell>
          <cell r="B218" t="str">
            <v>小型</v>
          </cell>
          <cell r="C218" t="str">
            <v>港澳台商投资企业</v>
          </cell>
          <cell r="D218">
            <v>99806.44</v>
          </cell>
        </row>
        <row r="219">
          <cell r="A219" t="str">
            <v>轻工业</v>
          </cell>
          <cell r="B219" t="str">
            <v>中型</v>
          </cell>
          <cell r="C219" t="str">
            <v>国有及国有控股企业</v>
          </cell>
          <cell r="D219">
            <v>20138.88</v>
          </cell>
        </row>
        <row r="220">
          <cell r="A220" t="str">
            <v>轻工业</v>
          </cell>
          <cell r="B220" t="str">
            <v>小型</v>
          </cell>
          <cell r="C220" t="str">
            <v>外商投资企业</v>
          </cell>
          <cell r="D220">
            <v>5045.21</v>
          </cell>
        </row>
        <row r="221">
          <cell r="A221" t="str">
            <v>轻工业</v>
          </cell>
          <cell r="B221" t="str">
            <v>大型</v>
          </cell>
          <cell r="C221" t="str">
            <v>国有及国有控股企业</v>
          </cell>
          <cell r="D221">
            <v>70098.09</v>
          </cell>
        </row>
        <row r="222">
          <cell r="A222" t="str">
            <v>轻工业</v>
          </cell>
          <cell r="B222" t="str">
            <v>中型</v>
          </cell>
          <cell r="C222" t="str">
            <v>港澳台商投资企业</v>
          </cell>
          <cell r="D222">
            <v>54484.36</v>
          </cell>
        </row>
        <row r="223">
          <cell r="A223" t="str">
            <v>重工业</v>
          </cell>
          <cell r="B223" t="str">
            <v>小型</v>
          </cell>
          <cell r="C223" t="str">
            <v>股份有限公司</v>
          </cell>
          <cell r="D223">
            <v>12009.02</v>
          </cell>
        </row>
        <row r="224">
          <cell r="A224" t="str">
            <v>轻工业</v>
          </cell>
          <cell r="B224" t="str">
            <v>中型</v>
          </cell>
          <cell r="C224" t="str">
            <v>外商投资企业</v>
          </cell>
          <cell r="D224">
            <v>61718.66</v>
          </cell>
        </row>
        <row r="225">
          <cell r="A225" t="str">
            <v>重工业</v>
          </cell>
          <cell r="B225" t="str">
            <v>中型</v>
          </cell>
          <cell r="C225" t="str">
            <v>股份有限公司</v>
          </cell>
          <cell r="D225">
            <v>60083.31</v>
          </cell>
        </row>
        <row r="226">
          <cell r="A226" t="str">
            <v>重工业</v>
          </cell>
          <cell r="B226" t="str">
            <v>小型</v>
          </cell>
          <cell r="C226" t="str">
            <v>国有及国有控股企业</v>
          </cell>
          <cell r="D226">
            <v>99314.23</v>
          </cell>
        </row>
        <row r="227">
          <cell r="A227" t="str">
            <v>重工业</v>
          </cell>
          <cell r="B227" t="str">
            <v>小型</v>
          </cell>
          <cell r="C227" t="str">
            <v>国有及国有控股企业</v>
          </cell>
          <cell r="D227">
            <v>86162.99</v>
          </cell>
        </row>
        <row r="228">
          <cell r="A228" t="str">
            <v>轻工业</v>
          </cell>
          <cell r="B228" t="str">
            <v>小型</v>
          </cell>
          <cell r="C228" t="str">
            <v>国有及国有控股企业</v>
          </cell>
          <cell r="D228">
            <v>27837.48</v>
          </cell>
        </row>
        <row r="229">
          <cell r="A229" t="str">
            <v>轻工业</v>
          </cell>
          <cell r="B229" t="str">
            <v>中型</v>
          </cell>
          <cell r="C229" t="str">
            <v>股份有限公司</v>
          </cell>
          <cell r="D229">
            <v>13039.96</v>
          </cell>
        </row>
        <row r="230">
          <cell r="A230" t="str">
            <v>重工业</v>
          </cell>
          <cell r="B230" t="str">
            <v>小型</v>
          </cell>
          <cell r="C230" t="str">
            <v>集体企业</v>
          </cell>
          <cell r="D230">
            <v>86567.75</v>
          </cell>
        </row>
        <row r="231">
          <cell r="A231" t="str">
            <v>重工业</v>
          </cell>
          <cell r="B231" t="str">
            <v>大型</v>
          </cell>
          <cell r="C231" t="str">
            <v>股份有限公司</v>
          </cell>
          <cell r="D231">
            <v>3034.29</v>
          </cell>
        </row>
        <row r="232">
          <cell r="A232" t="str">
            <v>重工业</v>
          </cell>
          <cell r="B232" t="str">
            <v>小型</v>
          </cell>
          <cell r="C232" t="str">
            <v>港澳台商投资企业</v>
          </cell>
          <cell r="D232">
            <v>20865.310000000001</v>
          </cell>
        </row>
        <row r="233">
          <cell r="A233" t="str">
            <v>重工业</v>
          </cell>
          <cell r="B233" t="str">
            <v>小型</v>
          </cell>
          <cell r="C233" t="str">
            <v>港澳台商投资企业</v>
          </cell>
          <cell r="D233">
            <v>39349.550000000003</v>
          </cell>
        </row>
        <row r="234">
          <cell r="A234" t="str">
            <v>轻工业</v>
          </cell>
          <cell r="B234" t="str">
            <v>中型</v>
          </cell>
          <cell r="C234" t="str">
            <v>国有及国有控股企业</v>
          </cell>
          <cell r="D234">
            <v>73020.679999999993</v>
          </cell>
        </row>
        <row r="235">
          <cell r="A235" t="str">
            <v>轻工业</v>
          </cell>
          <cell r="B235" t="str">
            <v>大型</v>
          </cell>
          <cell r="C235" t="str">
            <v>港澳台商投资企业</v>
          </cell>
          <cell r="D235">
            <v>57212.17</v>
          </cell>
        </row>
        <row r="236">
          <cell r="A236" t="str">
            <v>重工业</v>
          </cell>
          <cell r="B236" t="str">
            <v>中型</v>
          </cell>
          <cell r="C236" t="str">
            <v>集体企业</v>
          </cell>
          <cell r="D236">
            <v>1843.53</v>
          </cell>
        </row>
        <row r="237">
          <cell r="A237" t="str">
            <v>轻工业</v>
          </cell>
          <cell r="B237" t="str">
            <v>小型</v>
          </cell>
          <cell r="C237" t="str">
            <v>集体企业</v>
          </cell>
          <cell r="D237">
            <v>26450.97</v>
          </cell>
        </row>
        <row r="238">
          <cell r="A238" t="str">
            <v>轻工业</v>
          </cell>
          <cell r="B238" t="str">
            <v>大型</v>
          </cell>
          <cell r="C238" t="str">
            <v>外商投资企业</v>
          </cell>
          <cell r="D238">
            <v>96150.02</v>
          </cell>
        </row>
        <row r="239">
          <cell r="A239" t="str">
            <v>轻工业</v>
          </cell>
          <cell r="B239" t="str">
            <v>大型</v>
          </cell>
          <cell r="C239" t="str">
            <v>外商投资企业</v>
          </cell>
          <cell r="D239">
            <v>10453.82</v>
          </cell>
        </row>
        <row r="240">
          <cell r="A240" t="str">
            <v>重工业</v>
          </cell>
          <cell r="B240" t="str">
            <v>大型</v>
          </cell>
          <cell r="C240" t="str">
            <v>港澳台商投资企业</v>
          </cell>
          <cell r="D240">
            <v>88072.17</v>
          </cell>
        </row>
        <row r="241">
          <cell r="A241" t="str">
            <v>轻工业</v>
          </cell>
          <cell r="B241" t="str">
            <v>大型</v>
          </cell>
          <cell r="C241" t="str">
            <v>集体企业</v>
          </cell>
          <cell r="D241">
            <v>77933.119999999995</v>
          </cell>
        </row>
        <row r="242">
          <cell r="A242" t="str">
            <v>轻工业</v>
          </cell>
          <cell r="B242" t="str">
            <v>中型</v>
          </cell>
          <cell r="C242" t="str">
            <v>集体企业</v>
          </cell>
          <cell r="D242">
            <v>2344.62</v>
          </cell>
        </row>
        <row r="243">
          <cell r="A243" t="str">
            <v>轻工业</v>
          </cell>
          <cell r="B243" t="str">
            <v>小型</v>
          </cell>
          <cell r="C243" t="str">
            <v>集体企业</v>
          </cell>
          <cell r="D243">
            <v>47647.46</v>
          </cell>
        </row>
        <row r="244">
          <cell r="A244" t="str">
            <v>轻工业</v>
          </cell>
          <cell r="B244" t="str">
            <v>中型</v>
          </cell>
          <cell r="C244" t="str">
            <v>港澳台商投资企业</v>
          </cell>
          <cell r="D244">
            <v>66886.41</v>
          </cell>
        </row>
        <row r="245">
          <cell r="A245" t="str">
            <v>重工业</v>
          </cell>
          <cell r="B245" t="str">
            <v>小型</v>
          </cell>
          <cell r="C245" t="str">
            <v>股份有限公司</v>
          </cell>
          <cell r="D245">
            <v>12525.25</v>
          </cell>
        </row>
        <row r="246">
          <cell r="A246" t="str">
            <v>重工业</v>
          </cell>
          <cell r="B246" t="str">
            <v>小型</v>
          </cell>
          <cell r="C246" t="str">
            <v>港澳台商投资企业</v>
          </cell>
          <cell r="D246">
            <v>31589.84</v>
          </cell>
        </row>
        <row r="247">
          <cell r="A247" t="str">
            <v>重工业</v>
          </cell>
          <cell r="B247" t="str">
            <v>中型</v>
          </cell>
          <cell r="C247" t="str">
            <v>集体企业</v>
          </cell>
          <cell r="D247">
            <v>64906.65</v>
          </cell>
        </row>
        <row r="248">
          <cell r="A248" t="str">
            <v>重工业</v>
          </cell>
          <cell r="B248" t="str">
            <v>小型</v>
          </cell>
          <cell r="C248" t="str">
            <v>港澳台商投资企业</v>
          </cell>
          <cell r="D248">
            <v>69349.19</v>
          </cell>
        </row>
        <row r="249">
          <cell r="A249" t="str">
            <v>重工业</v>
          </cell>
          <cell r="B249" t="str">
            <v>中型</v>
          </cell>
          <cell r="C249" t="str">
            <v>国有及国有控股企业</v>
          </cell>
          <cell r="D249">
            <v>99499.65</v>
          </cell>
        </row>
        <row r="250">
          <cell r="A250" t="str">
            <v>轻工业</v>
          </cell>
          <cell r="B250" t="str">
            <v>大型</v>
          </cell>
          <cell r="C250" t="str">
            <v>股份有限公司</v>
          </cell>
          <cell r="D250">
            <v>7161.55</v>
          </cell>
        </row>
        <row r="251">
          <cell r="A251" t="str">
            <v>轻工业</v>
          </cell>
          <cell r="B251" t="str">
            <v>中型</v>
          </cell>
          <cell r="C251" t="str">
            <v>集体企业</v>
          </cell>
          <cell r="D251">
            <v>54678.13</v>
          </cell>
        </row>
      </sheetData>
      <sheetData sheetId="3"/>
      <sheetData sheetId="4"/>
      <sheetData sheetId="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考试须知"/>
      <sheetName val="第1题"/>
      <sheetName val="第2题"/>
      <sheetName val="第3题"/>
      <sheetName val="第4题"/>
      <sheetName val="第5题"/>
      <sheetName val="第5题透视表"/>
      <sheetName val="第5题控制"/>
      <sheetName val="第6题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ck the simulation model"/>
      <sheetName val="ProbTable"/>
      <sheetName val="Simulation"/>
      <sheetName val="Simulation (2)"/>
    </sheetNames>
    <sheetDataSet>
      <sheetData sheetId="0" refreshError="1"/>
      <sheetData sheetId="1" refreshError="1"/>
      <sheetData sheetId="2" refreshError="1"/>
      <sheetData sheetId="3">
        <row r="3">
          <cell r="D3">
            <v>3800</v>
          </cell>
          <cell r="K3">
            <v>3640.6</v>
          </cell>
          <cell r="L3">
            <v>996.6</v>
          </cell>
          <cell r="M3">
            <v>113.4</v>
          </cell>
          <cell r="N3">
            <v>156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第1题"/>
      <sheetName val="第2题"/>
      <sheetName val="第3题"/>
      <sheetName val="第4题"/>
      <sheetName val="第5题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第1题解答"/>
      <sheetName val="第2题解答"/>
      <sheetName val="第3题解答"/>
      <sheetName val="第4题解答"/>
      <sheetName val="第5题解答"/>
      <sheetName val="第6题解答"/>
      <sheetName val="第7题解答"/>
      <sheetName val="第8题解答"/>
      <sheetName val="第9题解答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订购年</v>
          </cell>
          <cell r="B1" t="str">
            <v>订购日期</v>
          </cell>
          <cell r="C1" t="str">
            <v>货主国家</v>
          </cell>
          <cell r="D1" t="str">
            <v>类别名称</v>
          </cell>
          <cell r="E1" t="str">
            <v>销售额</v>
          </cell>
        </row>
        <row r="2">
          <cell r="A2">
            <v>1994</v>
          </cell>
          <cell r="B2">
            <v>34551</v>
          </cell>
          <cell r="C2" t="str">
            <v>美国</v>
          </cell>
          <cell r="D2" t="str">
            <v>农产品</v>
          </cell>
          <cell r="E2">
            <v>167.4</v>
          </cell>
        </row>
        <row r="3">
          <cell r="A3">
            <v>1994</v>
          </cell>
          <cell r="B3">
            <v>34551</v>
          </cell>
          <cell r="C3" t="str">
            <v>美国</v>
          </cell>
          <cell r="D3" t="str">
            <v>农产品</v>
          </cell>
          <cell r="E3">
            <v>1696</v>
          </cell>
        </row>
        <row r="4">
          <cell r="A4">
            <v>1994</v>
          </cell>
          <cell r="B4">
            <v>34565</v>
          </cell>
          <cell r="C4" t="str">
            <v>美国</v>
          </cell>
          <cell r="D4" t="str">
            <v>海洋食品</v>
          </cell>
          <cell r="E4">
            <v>92.4</v>
          </cell>
        </row>
        <row r="5">
          <cell r="A5">
            <v>1994</v>
          </cell>
          <cell r="B5">
            <v>34565</v>
          </cell>
          <cell r="C5" t="str">
            <v>美国</v>
          </cell>
          <cell r="D5" t="str">
            <v>面食/谷类</v>
          </cell>
          <cell r="E5">
            <v>780</v>
          </cell>
        </row>
        <row r="6">
          <cell r="A6">
            <v>1994</v>
          </cell>
          <cell r="B6">
            <v>34565</v>
          </cell>
          <cell r="C6" t="str">
            <v>美国</v>
          </cell>
          <cell r="D6" t="str">
            <v>糖果</v>
          </cell>
          <cell r="E6">
            <v>443.25</v>
          </cell>
        </row>
        <row r="7">
          <cell r="A7">
            <v>1994</v>
          </cell>
          <cell r="B7">
            <v>34565</v>
          </cell>
          <cell r="C7" t="str">
            <v>美国</v>
          </cell>
          <cell r="D7" t="str">
            <v>饮料</v>
          </cell>
          <cell r="E7">
            <v>189</v>
          </cell>
        </row>
        <row r="8">
          <cell r="A8">
            <v>1994</v>
          </cell>
          <cell r="B8">
            <v>34568</v>
          </cell>
          <cell r="C8" t="str">
            <v>加拿大</v>
          </cell>
          <cell r="D8" t="str">
            <v>香料</v>
          </cell>
          <cell r="E8">
            <v>163.19999939203262</v>
          </cell>
        </row>
        <row r="9">
          <cell r="A9">
            <v>1994</v>
          </cell>
          <cell r="B9">
            <v>34568</v>
          </cell>
          <cell r="C9" t="str">
            <v>加拿大</v>
          </cell>
          <cell r="D9" t="str">
            <v>农产品</v>
          </cell>
          <cell r="E9">
            <v>360</v>
          </cell>
        </row>
        <row r="10">
          <cell r="A10">
            <v>1994</v>
          </cell>
          <cell r="B10">
            <v>34568</v>
          </cell>
          <cell r="C10" t="str">
            <v>加拿大</v>
          </cell>
          <cell r="D10" t="str">
            <v>面食/谷类</v>
          </cell>
          <cell r="E10">
            <v>60.8</v>
          </cell>
        </row>
        <row r="11">
          <cell r="A11">
            <v>1994</v>
          </cell>
          <cell r="B11">
            <v>34575</v>
          </cell>
          <cell r="C11" t="str">
            <v>美国</v>
          </cell>
          <cell r="D11" t="str">
            <v>海洋食品</v>
          </cell>
          <cell r="E11">
            <v>735</v>
          </cell>
        </row>
        <row r="12">
          <cell r="A12">
            <v>1994</v>
          </cell>
          <cell r="B12">
            <v>34575</v>
          </cell>
          <cell r="C12" t="str">
            <v>美国</v>
          </cell>
          <cell r="D12" t="str">
            <v>乳制品</v>
          </cell>
          <cell r="E12">
            <v>2617.9999816417694</v>
          </cell>
        </row>
        <row r="13">
          <cell r="A13">
            <v>1994</v>
          </cell>
          <cell r="B13">
            <v>34575</v>
          </cell>
          <cell r="C13" t="str">
            <v>美国</v>
          </cell>
          <cell r="D13" t="str">
            <v>饮料</v>
          </cell>
          <cell r="E13">
            <v>183.59999871253967</v>
          </cell>
        </row>
        <row r="14">
          <cell r="A14">
            <v>1994</v>
          </cell>
          <cell r="B14">
            <v>34577</v>
          </cell>
          <cell r="C14" t="str">
            <v>加拿大</v>
          </cell>
          <cell r="D14" t="str">
            <v>乳制品</v>
          </cell>
          <cell r="E14">
            <v>113.99999991059303</v>
          </cell>
        </row>
        <row r="15">
          <cell r="A15">
            <v>1994</v>
          </cell>
          <cell r="B15">
            <v>34577</v>
          </cell>
          <cell r="C15" t="str">
            <v>加拿大</v>
          </cell>
          <cell r="D15" t="str">
            <v>乳制品</v>
          </cell>
          <cell r="E15">
            <v>528.19999958574772</v>
          </cell>
        </row>
        <row r="16">
          <cell r="A16">
            <v>1994</v>
          </cell>
          <cell r="B16">
            <v>34578</v>
          </cell>
          <cell r="C16" t="str">
            <v>加拿大</v>
          </cell>
          <cell r="D16" t="str">
            <v>乳制品</v>
          </cell>
          <cell r="E16">
            <v>48</v>
          </cell>
        </row>
        <row r="17">
          <cell r="A17">
            <v>1994</v>
          </cell>
          <cell r="B17">
            <v>34579</v>
          </cell>
          <cell r="C17" t="str">
            <v>加拿大</v>
          </cell>
          <cell r="D17" t="str">
            <v>糖果</v>
          </cell>
          <cell r="E17">
            <v>388.8</v>
          </cell>
        </row>
        <row r="18">
          <cell r="A18">
            <v>1994</v>
          </cell>
          <cell r="B18">
            <v>34579</v>
          </cell>
          <cell r="C18" t="str">
            <v>加拿大</v>
          </cell>
          <cell r="D18" t="str">
            <v>乳制品</v>
          </cell>
          <cell r="E18">
            <v>400</v>
          </cell>
        </row>
        <row r="19">
          <cell r="A19">
            <v>1994</v>
          </cell>
          <cell r="B19">
            <v>34579</v>
          </cell>
          <cell r="C19" t="str">
            <v>加拿大</v>
          </cell>
          <cell r="D19" t="str">
            <v>乳制品</v>
          </cell>
          <cell r="E19">
            <v>667.2</v>
          </cell>
        </row>
        <row r="20">
          <cell r="A20">
            <v>1994</v>
          </cell>
          <cell r="B20">
            <v>34582</v>
          </cell>
          <cell r="C20" t="str">
            <v>美国</v>
          </cell>
          <cell r="D20" t="str">
            <v>海洋食品</v>
          </cell>
          <cell r="E20">
            <v>565.43999955654147</v>
          </cell>
        </row>
        <row r="21">
          <cell r="A21">
            <v>1994</v>
          </cell>
          <cell r="B21">
            <v>34582</v>
          </cell>
          <cell r="C21" t="str">
            <v>美国</v>
          </cell>
          <cell r="D21" t="str">
            <v>乳制品</v>
          </cell>
          <cell r="E21">
            <v>142.49999988824129</v>
          </cell>
        </row>
        <row r="22">
          <cell r="A22">
            <v>1994</v>
          </cell>
          <cell r="B22">
            <v>34582</v>
          </cell>
          <cell r="C22" t="str">
            <v>美国</v>
          </cell>
          <cell r="D22" t="str">
            <v>乳制品</v>
          </cell>
          <cell r="E22">
            <v>40</v>
          </cell>
        </row>
        <row r="23">
          <cell r="A23">
            <v>1994</v>
          </cell>
          <cell r="B23">
            <v>34582</v>
          </cell>
          <cell r="C23" t="str">
            <v>美国</v>
          </cell>
          <cell r="D23" t="str">
            <v>海洋食品</v>
          </cell>
          <cell r="E23">
            <v>837.89999934285879</v>
          </cell>
        </row>
        <row r="24">
          <cell r="A24">
            <v>1994</v>
          </cell>
          <cell r="B24">
            <v>34582</v>
          </cell>
          <cell r="C24" t="str">
            <v>美国</v>
          </cell>
          <cell r="D24" t="str">
            <v>饮料</v>
          </cell>
          <cell r="E24">
            <v>451.43999964594838</v>
          </cell>
        </row>
        <row r="25">
          <cell r="A25">
            <v>1994</v>
          </cell>
          <cell r="B25">
            <v>34586</v>
          </cell>
          <cell r="C25" t="str">
            <v>美国</v>
          </cell>
          <cell r="D25" t="str">
            <v>农产品</v>
          </cell>
          <cell r="E25">
            <v>728</v>
          </cell>
        </row>
        <row r="26">
          <cell r="A26">
            <v>1994</v>
          </cell>
          <cell r="B26">
            <v>34586</v>
          </cell>
          <cell r="C26" t="str">
            <v>美国</v>
          </cell>
          <cell r="D26" t="str">
            <v>糖果</v>
          </cell>
          <cell r="E26">
            <v>472.8</v>
          </cell>
        </row>
        <row r="27">
          <cell r="A27">
            <v>1994</v>
          </cell>
          <cell r="B27">
            <v>34590</v>
          </cell>
          <cell r="C27" t="str">
            <v>美国</v>
          </cell>
          <cell r="D27" t="str">
            <v>肉/家禽</v>
          </cell>
          <cell r="E27">
            <v>351</v>
          </cell>
        </row>
        <row r="28">
          <cell r="A28">
            <v>1994</v>
          </cell>
          <cell r="B28">
            <v>34596</v>
          </cell>
          <cell r="C28" t="str">
            <v>美国</v>
          </cell>
          <cell r="D28" t="str">
            <v>糖果</v>
          </cell>
          <cell r="E28">
            <v>394.875</v>
          </cell>
        </row>
        <row r="29">
          <cell r="A29">
            <v>1994</v>
          </cell>
          <cell r="B29">
            <v>34596</v>
          </cell>
          <cell r="C29" t="str">
            <v>美国</v>
          </cell>
          <cell r="D29" t="str">
            <v>香料</v>
          </cell>
          <cell r="E29">
            <v>325.5</v>
          </cell>
        </row>
        <row r="30">
          <cell r="A30">
            <v>1994</v>
          </cell>
          <cell r="B30">
            <v>34596</v>
          </cell>
          <cell r="C30" t="str">
            <v>美国</v>
          </cell>
          <cell r="D30" t="str">
            <v>乳制品</v>
          </cell>
          <cell r="E30">
            <v>408</v>
          </cell>
        </row>
        <row r="31">
          <cell r="A31">
            <v>1994</v>
          </cell>
          <cell r="B31">
            <v>34596</v>
          </cell>
          <cell r="C31" t="str">
            <v>美国</v>
          </cell>
          <cell r="D31" t="str">
            <v>饮料</v>
          </cell>
          <cell r="E31">
            <v>42</v>
          </cell>
        </row>
        <row r="32">
          <cell r="A32">
            <v>1994</v>
          </cell>
          <cell r="B32">
            <v>34597</v>
          </cell>
          <cell r="C32" t="str">
            <v>美国</v>
          </cell>
          <cell r="D32" t="str">
            <v>饮料</v>
          </cell>
          <cell r="E32">
            <v>518.39999806880951</v>
          </cell>
        </row>
        <row r="33">
          <cell r="A33">
            <v>1994</v>
          </cell>
          <cell r="B33">
            <v>34597</v>
          </cell>
          <cell r="C33" t="str">
            <v>美国</v>
          </cell>
          <cell r="D33" t="str">
            <v>海洋食品</v>
          </cell>
          <cell r="E33">
            <v>470.39999824762344</v>
          </cell>
        </row>
        <row r="34">
          <cell r="A34">
            <v>1994</v>
          </cell>
          <cell r="B34">
            <v>34597</v>
          </cell>
          <cell r="C34" t="str">
            <v>美国</v>
          </cell>
          <cell r="D34" t="str">
            <v>肉/家禽</v>
          </cell>
          <cell r="E34">
            <v>754.55999718904502</v>
          </cell>
        </row>
        <row r="35">
          <cell r="A35">
            <v>1994</v>
          </cell>
          <cell r="B35">
            <v>34598</v>
          </cell>
          <cell r="C35" t="str">
            <v>美国</v>
          </cell>
          <cell r="D35" t="str">
            <v>饮料</v>
          </cell>
          <cell r="E35">
            <v>1440</v>
          </cell>
        </row>
        <row r="36">
          <cell r="A36">
            <v>1994</v>
          </cell>
          <cell r="B36">
            <v>34598</v>
          </cell>
          <cell r="C36" t="str">
            <v>美国</v>
          </cell>
          <cell r="D36" t="str">
            <v>糖果</v>
          </cell>
          <cell r="E36">
            <v>1576</v>
          </cell>
        </row>
        <row r="37">
          <cell r="A37">
            <v>1994</v>
          </cell>
          <cell r="B37">
            <v>34607</v>
          </cell>
          <cell r="C37" t="str">
            <v>加拿大</v>
          </cell>
          <cell r="D37" t="str">
            <v>饮料</v>
          </cell>
          <cell r="E37">
            <v>259.2</v>
          </cell>
        </row>
        <row r="38">
          <cell r="A38">
            <v>1994</v>
          </cell>
          <cell r="B38">
            <v>34607</v>
          </cell>
          <cell r="C38" t="str">
            <v>加拿大</v>
          </cell>
          <cell r="D38" t="str">
            <v>肉/家禽</v>
          </cell>
          <cell r="E38">
            <v>468</v>
          </cell>
        </row>
        <row r="39">
          <cell r="A39">
            <v>1994</v>
          </cell>
          <cell r="B39">
            <v>34607</v>
          </cell>
          <cell r="C39" t="str">
            <v>加拿大</v>
          </cell>
          <cell r="D39" t="str">
            <v>饮料</v>
          </cell>
          <cell r="E39">
            <v>552</v>
          </cell>
        </row>
        <row r="40">
          <cell r="A40">
            <v>1994</v>
          </cell>
          <cell r="B40">
            <v>34607</v>
          </cell>
          <cell r="C40" t="str">
            <v>加拿大</v>
          </cell>
          <cell r="D40" t="str">
            <v>乳制品</v>
          </cell>
          <cell r="E40">
            <v>571.20000000000005</v>
          </cell>
        </row>
        <row r="41">
          <cell r="A41">
            <v>1994</v>
          </cell>
          <cell r="B41">
            <v>34607</v>
          </cell>
          <cell r="C41" t="str">
            <v>加拿大</v>
          </cell>
          <cell r="D41" t="str">
            <v>饮料</v>
          </cell>
          <cell r="E41">
            <v>37.200000000000003</v>
          </cell>
        </row>
        <row r="42">
          <cell r="A42">
            <v>1994</v>
          </cell>
          <cell r="B42">
            <v>34617</v>
          </cell>
          <cell r="C42" t="str">
            <v>美国</v>
          </cell>
          <cell r="D42" t="str">
            <v>海洋食品</v>
          </cell>
          <cell r="E42">
            <v>147</v>
          </cell>
        </row>
        <row r="43">
          <cell r="A43">
            <v>1994</v>
          </cell>
          <cell r="B43">
            <v>34617</v>
          </cell>
          <cell r="C43" t="str">
            <v>美国</v>
          </cell>
          <cell r="D43" t="str">
            <v>面食/谷类</v>
          </cell>
          <cell r="E43">
            <v>608</v>
          </cell>
        </row>
        <row r="44">
          <cell r="A44">
            <v>1994</v>
          </cell>
          <cell r="B44">
            <v>34621</v>
          </cell>
          <cell r="C44" t="str">
            <v>加拿大</v>
          </cell>
          <cell r="D44" t="str">
            <v>海洋食品</v>
          </cell>
          <cell r="E44">
            <v>1124.9999981373549</v>
          </cell>
        </row>
        <row r="45">
          <cell r="A45">
            <v>1994</v>
          </cell>
          <cell r="B45">
            <v>34621</v>
          </cell>
          <cell r="C45" t="str">
            <v>加拿大</v>
          </cell>
          <cell r="D45" t="str">
            <v>肉/家禽</v>
          </cell>
          <cell r="E45">
            <v>2227.4999963119626</v>
          </cell>
        </row>
        <row r="46">
          <cell r="A46">
            <v>1994</v>
          </cell>
          <cell r="B46">
            <v>34621</v>
          </cell>
          <cell r="C46" t="str">
            <v>加拿大</v>
          </cell>
          <cell r="D46" t="str">
            <v>饮料</v>
          </cell>
          <cell r="E46">
            <v>388.79999935626984</v>
          </cell>
        </row>
        <row r="47">
          <cell r="A47">
            <v>1994</v>
          </cell>
          <cell r="B47">
            <v>34625</v>
          </cell>
          <cell r="C47" t="str">
            <v>加拿大</v>
          </cell>
          <cell r="D47" t="str">
            <v>糖果</v>
          </cell>
          <cell r="E47">
            <v>394</v>
          </cell>
        </row>
        <row r="48">
          <cell r="A48">
            <v>1994</v>
          </cell>
          <cell r="B48">
            <v>34625</v>
          </cell>
          <cell r="C48" t="str">
            <v>加拿大</v>
          </cell>
          <cell r="D48" t="str">
            <v>糖果</v>
          </cell>
          <cell r="E48">
            <v>30</v>
          </cell>
        </row>
        <row r="49">
          <cell r="A49">
            <v>1994</v>
          </cell>
          <cell r="B49">
            <v>34628</v>
          </cell>
          <cell r="C49" t="str">
            <v>加拿大</v>
          </cell>
          <cell r="D49" t="str">
            <v>糖果</v>
          </cell>
          <cell r="E49">
            <v>139</v>
          </cell>
        </row>
        <row r="50">
          <cell r="A50">
            <v>1994</v>
          </cell>
          <cell r="B50">
            <v>34628</v>
          </cell>
          <cell r="C50" t="str">
            <v>加拿大</v>
          </cell>
          <cell r="D50" t="str">
            <v>糖果</v>
          </cell>
          <cell r="E50">
            <v>197</v>
          </cell>
        </row>
        <row r="51">
          <cell r="A51">
            <v>1994</v>
          </cell>
          <cell r="B51">
            <v>34631</v>
          </cell>
          <cell r="C51" t="str">
            <v>美国</v>
          </cell>
          <cell r="D51" t="str">
            <v>农产品</v>
          </cell>
          <cell r="E51">
            <v>145.6</v>
          </cell>
        </row>
        <row r="52">
          <cell r="A52">
            <v>1994</v>
          </cell>
          <cell r="B52">
            <v>34631</v>
          </cell>
          <cell r="C52" t="str">
            <v>美国</v>
          </cell>
          <cell r="D52" t="str">
            <v>饮料</v>
          </cell>
          <cell r="E52">
            <v>883.2</v>
          </cell>
        </row>
        <row r="53">
          <cell r="A53">
            <v>1994</v>
          </cell>
          <cell r="B53">
            <v>34631</v>
          </cell>
          <cell r="C53" t="str">
            <v>美国</v>
          </cell>
          <cell r="D53" t="str">
            <v>肉/家禽</v>
          </cell>
          <cell r="E53">
            <v>524</v>
          </cell>
        </row>
        <row r="54">
          <cell r="A54">
            <v>1994</v>
          </cell>
          <cell r="B54">
            <v>34631</v>
          </cell>
          <cell r="C54" t="str">
            <v>美国</v>
          </cell>
          <cell r="D54" t="str">
            <v>饮料</v>
          </cell>
          <cell r="E54">
            <v>62</v>
          </cell>
        </row>
        <row r="55">
          <cell r="A55">
            <v>1994</v>
          </cell>
          <cell r="B55">
            <v>34632</v>
          </cell>
          <cell r="C55" t="str">
            <v>美国</v>
          </cell>
          <cell r="D55" t="str">
            <v>海洋食品</v>
          </cell>
          <cell r="E55">
            <v>182.4</v>
          </cell>
        </row>
        <row r="56">
          <cell r="A56">
            <v>1994</v>
          </cell>
          <cell r="B56">
            <v>34633</v>
          </cell>
          <cell r="C56" t="str">
            <v>加拿大</v>
          </cell>
          <cell r="D56" t="str">
            <v>乳制品</v>
          </cell>
          <cell r="E56">
            <v>921.59999847412109</v>
          </cell>
        </row>
        <row r="57">
          <cell r="A57">
            <v>1994</v>
          </cell>
          <cell r="B57">
            <v>34633</v>
          </cell>
          <cell r="C57" t="str">
            <v>加拿大</v>
          </cell>
          <cell r="D57" t="str">
            <v>海洋食品</v>
          </cell>
          <cell r="E57">
            <v>286.19999952614307</v>
          </cell>
        </row>
        <row r="58">
          <cell r="A58">
            <v>1994</v>
          </cell>
          <cell r="B58">
            <v>34633</v>
          </cell>
          <cell r="C58" t="str">
            <v>加拿大</v>
          </cell>
          <cell r="D58" t="str">
            <v>糖果</v>
          </cell>
          <cell r="E58">
            <v>886.49999853223562</v>
          </cell>
        </row>
        <row r="59">
          <cell r="A59">
            <v>1994</v>
          </cell>
          <cell r="B59">
            <v>34635</v>
          </cell>
          <cell r="C59" t="str">
            <v>加拿大</v>
          </cell>
          <cell r="D59" t="str">
            <v>海洋食品</v>
          </cell>
          <cell r="E59">
            <v>77</v>
          </cell>
        </row>
        <row r="60">
          <cell r="A60">
            <v>1994</v>
          </cell>
          <cell r="B60">
            <v>34635</v>
          </cell>
          <cell r="C60" t="str">
            <v>加拿大</v>
          </cell>
          <cell r="D60" t="str">
            <v>糖果</v>
          </cell>
          <cell r="E60">
            <v>2758</v>
          </cell>
        </row>
        <row r="61">
          <cell r="A61">
            <v>1994</v>
          </cell>
          <cell r="B61">
            <v>34638</v>
          </cell>
          <cell r="C61" t="str">
            <v>加拿大</v>
          </cell>
          <cell r="D61" t="str">
            <v>饮料</v>
          </cell>
          <cell r="E61">
            <v>288</v>
          </cell>
        </row>
        <row r="62">
          <cell r="A62">
            <v>1994</v>
          </cell>
          <cell r="B62">
            <v>34645</v>
          </cell>
          <cell r="C62" t="str">
            <v>美国</v>
          </cell>
          <cell r="D62" t="str">
            <v>香料</v>
          </cell>
          <cell r="E62">
            <v>62</v>
          </cell>
        </row>
        <row r="63">
          <cell r="A63">
            <v>1994</v>
          </cell>
          <cell r="B63">
            <v>34645</v>
          </cell>
          <cell r="C63" t="str">
            <v>美国</v>
          </cell>
          <cell r="D63" t="str">
            <v>糖果</v>
          </cell>
          <cell r="E63">
            <v>44.8</v>
          </cell>
        </row>
        <row r="64">
          <cell r="A64">
            <v>1994</v>
          </cell>
          <cell r="B64">
            <v>34645</v>
          </cell>
          <cell r="C64" t="str">
            <v>美国</v>
          </cell>
          <cell r="D64" t="str">
            <v>饮料</v>
          </cell>
          <cell r="E64">
            <v>57.6</v>
          </cell>
        </row>
        <row r="65">
          <cell r="A65">
            <v>1994</v>
          </cell>
          <cell r="B65">
            <v>34646</v>
          </cell>
          <cell r="C65" t="str">
            <v>加拿大</v>
          </cell>
          <cell r="D65" t="str">
            <v>糖果</v>
          </cell>
          <cell r="E65">
            <v>248.1149982601404</v>
          </cell>
        </row>
        <row r="66">
          <cell r="A66">
            <v>1994</v>
          </cell>
          <cell r="B66">
            <v>34646</v>
          </cell>
          <cell r="C66" t="str">
            <v>加拿大</v>
          </cell>
          <cell r="D66" t="str">
            <v>饮料</v>
          </cell>
          <cell r="E66">
            <v>856.79999399185181</v>
          </cell>
        </row>
        <row r="67">
          <cell r="A67">
            <v>1994</v>
          </cell>
          <cell r="B67">
            <v>34646</v>
          </cell>
          <cell r="C67" t="str">
            <v>加拿大</v>
          </cell>
          <cell r="D67" t="str">
            <v>海洋食品</v>
          </cell>
          <cell r="E67">
            <v>288</v>
          </cell>
        </row>
        <row r="68">
          <cell r="A68">
            <v>1994</v>
          </cell>
          <cell r="B68">
            <v>34646</v>
          </cell>
          <cell r="C68" t="str">
            <v>加拿大</v>
          </cell>
          <cell r="D68" t="str">
            <v>乳制品</v>
          </cell>
          <cell r="E68">
            <v>1495.9999895095825</v>
          </cell>
        </row>
        <row r="69">
          <cell r="A69">
            <v>1994</v>
          </cell>
          <cell r="B69">
            <v>34646</v>
          </cell>
          <cell r="C69" t="str">
            <v>加拿大</v>
          </cell>
          <cell r="D69" t="str">
            <v>香料</v>
          </cell>
          <cell r="E69">
            <v>2386.7999832630157</v>
          </cell>
        </row>
        <row r="70">
          <cell r="A70">
            <v>1994</v>
          </cell>
          <cell r="B70">
            <v>34647</v>
          </cell>
          <cell r="C70" t="str">
            <v>美国</v>
          </cell>
          <cell r="D70" t="str">
            <v>香料</v>
          </cell>
          <cell r="E70">
            <v>120</v>
          </cell>
        </row>
        <row r="71">
          <cell r="A71">
            <v>1994</v>
          </cell>
          <cell r="B71">
            <v>34647</v>
          </cell>
          <cell r="C71" t="str">
            <v>美国</v>
          </cell>
          <cell r="D71" t="str">
            <v>海洋食品</v>
          </cell>
          <cell r="E71">
            <v>57.6</v>
          </cell>
        </row>
        <row r="72">
          <cell r="A72">
            <v>1994</v>
          </cell>
          <cell r="B72">
            <v>34647</v>
          </cell>
          <cell r="C72" t="str">
            <v>美国</v>
          </cell>
          <cell r="D72" t="str">
            <v>农产品</v>
          </cell>
          <cell r="E72">
            <v>167.4</v>
          </cell>
        </row>
        <row r="73">
          <cell r="A73">
            <v>1994</v>
          </cell>
          <cell r="B73">
            <v>34647</v>
          </cell>
          <cell r="C73" t="str">
            <v>美国</v>
          </cell>
          <cell r="D73" t="str">
            <v>乳制品</v>
          </cell>
          <cell r="E73">
            <v>40</v>
          </cell>
        </row>
        <row r="74">
          <cell r="A74">
            <v>1994</v>
          </cell>
          <cell r="B74">
            <v>34647</v>
          </cell>
          <cell r="C74" t="str">
            <v>美国</v>
          </cell>
          <cell r="D74" t="str">
            <v>乳制品</v>
          </cell>
          <cell r="E74">
            <v>1112</v>
          </cell>
        </row>
        <row r="75">
          <cell r="A75">
            <v>1994</v>
          </cell>
          <cell r="B75">
            <v>34653</v>
          </cell>
          <cell r="C75" t="str">
            <v>加拿大</v>
          </cell>
          <cell r="D75" t="str">
            <v>糖果</v>
          </cell>
          <cell r="E75">
            <v>69.349999945610762</v>
          </cell>
        </row>
        <row r="76">
          <cell r="A76">
            <v>1994</v>
          </cell>
          <cell r="B76">
            <v>34653</v>
          </cell>
          <cell r="C76" t="str">
            <v>加拿大</v>
          </cell>
          <cell r="D76" t="str">
            <v>海洋食品</v>
          </cell>
          <cell r="E76">
            <v>157.31999987661837</v>
          </cell>
        </row>
        <row r="77">
          <cell r="A77">
            <v>1994</v>
          </cell>
          <cell r="B77">
            <v>34653</v>
          </cell>
          <cell r="C77" t="str">
            <v>加拿大</v>
          </cell>
          <cell r="D77" t="str">
            <v>饮料</v>
          </cell>
          <cell r="E77">
            <v>4005.1999968588352</v>
          </cell>
        </row>
        <row r="78">
          <cell r="A78">
            <v>1994</v>
          </cell>
          <cell r="B78">
            <v>34653</v>
          </cell>
          <cell r="C78" t="str">
            <v>加拿大</v>
          </cell>
          <cell r="D78" t="str">
            <v>面食/谷类</v>
          </cell>
          <cell r="E78">
            <v>346.55999972820285</v>
          </cell>
        </row>
        <row r="79">
          <cell r="A79">
            <v>1994</v>
          </cell>
          <cell r="B79">
            <v>34662</v>
          </cell>
          <cell r="C79" t="str">
            <v>美国</v>
          </cell>
          <cell r="D79" t="str">
            <v>面食/谷类</v>
          </cell>
          <cell r="E79">
            <v>288</v>
          </cell>
        </row>
        <row r="80">
          <cell r="A80">
            <v>1994</v>
          </cell>
          <cell r="B80">
            <v>34662</v>
          </cell>
          <cell r="C80" t="str">
            <v>美国</v>
          </cell>
          <cell r="D80" t="str">
            <v>糖果</v>
          </cell>
          <cell r="E80">
            <v>597.6</v>
          </cell>
        </row>
        <row r="81">
          <cell r="A81">
            <v>1994</v>
          </cell>
          <cell r="B81">
            <v>34662</v>
          </cell>
          <cell r="C81" t="str">
            <v>美国</v>
          </cell>
          <cell r="D81" t="str">
            <v>海洋食品</v>
          </cell>
          <cell r="E81">
            <v>304</v>
          </cell>
        </row>
        <row r="82">
          <cell r="A82">
            <v>1994</v>
          </cell>
          <cell r="B82">
            <v>34662</v>
          </cell>
          <cell r="C82" t="str">
            <v>美国</v>
          </cell>
          <cell r="D82" t="str">
            <v>海洋食品</v>
          </cell>
          <cell r="E82">
            <v>582.4</v>
          </cell>
        </row>
        <row r="83">
          <cell r="A83">
            <v>1994</v>
          </cell>
          <cell r="B83">
            <v>34662</v>
          </cell>
          <cell r="C83" t="str">
            <v>美国</v>
          </cell>
          <cell r="D83" t="str">
            <v>乳制品</v>
          </cell>
          <cell r="E83">
            <v>695</v>
          </cell>
        </row>
        <row r="84">
          <cell r="A84">
            <v>1994</v>
          </cell>
          <cell r="B84">
            <v>34663</v>
          </cell>
          <cell r="C84" t="str">
            <v>加拿大</v>
          </cell>
          <cell r="D84" t="str">
            <v>肉/家禽</v>
          </cell>
          <cell r="E84">
            <v>624</v>
          </cell>
        </row>
        <row r="85">
          <cell r="A85">
            <v>1994</v>
          </cell>
          <cell r="B85">
            <v>34663</v>
          </cell>
          <cell r="C85" t="str">
            <v>加拿大</v>
          </cell>
          <cell r="D85" t="str">
            <v>海洋食品</v>
          </cell>
          <cell r="E85">
            <v>310.5</v>
          </cell>
        </row>
        <row r="86">
          <cell r="A86">
            <v>1994</v>
          </cell>
          <cell r="B86">
            <v>34668</v>
          </cell>
          <cell r="C86" t="str">
            <v>美国</v>
          </cell>
          <cell r="D86" t="str">
            <v>饮料</v>
          </cell>
          <cell r="E86">
            <v>291.83999891281127</v>
          </cell>
        </row>
        <row r="87">
          <cell r="A87">
            <v>1994</v>
          </cell>
          <cell r="B87">
            <v>34668</v>
          </cell>
          <cell r="C87" t="str">
            <v>美国</v>
          </cell>
          <cell r="D87" t="str">
            <v>乳制品</v>
          </cell>
          <cell r="E87">
            <v>447.99999833106995</v>
          </cell>
        </row>
        <row r="88">
          <cell r="A88">
            <v>1994</v>
          </cell>
          <cell r="B88">
            <v>34668</v>
          </cell>
          <cell r="C88" t="str">
            <v>美国</v>
          </cell>
          <cell r="D88" t="str">
            <v>海洋食品</v>
          </cell>
          <cell r="E88">
            <v>486.3999981880188</v>
          </cell>
        </row>
        <row r="89">
          <cell r="A89">
            <v>1994</v>
          </cell>
          <cell r="B89">
            <v>34668</v>
          </cell>
          <cell r="C89" t="str">
            <v>美国</v>
          </cell>
          <cell r="D89" t="str">
            <v>肉/家禽</v>
          </cell>
          <cell r="E89">
            <v>614.39999771118164</v>
          </cell>
        </row>
        <row r="90">
          <cell r="A90">
            <v>1994</v>
          </cell>
          <cell r="B90">
            <v>34669</v>
          </cell>
          <cell r="C90" t="str">
            <v>美国</v>
          </cell>
          <cell r="D90" t="str">
            <v>面食/谷类</v>
          </cell>
          <cell r="E90">
            <v>1330</v>
          </cell>
        </row>
        <row r="91">
          <cell r="A91">
            <v>1994</v>
          </cell>
          <cell r="B91">
            <v>34669</v>
          </cell>
          <cell r="C91" t="str">
            <v>美国</v>
          </cell>
          <cell r="D91" t="str">
            <v>糖果</v>
          </cell>
          <cell r="E91">
            <v>37.999999970197678</v>
          </cell>
        </row>
        <row r="92">
          <cell r="A92">
            <v>1994</v>
          </cell>
          <cell r="B92">
            <v>34669</v>
          </cell>
          <cell r="C92" t="str">
            <v>美国</v>
          </cell>
          <cell r="D92" t="str">
            <v>饮料</v>
          </cell>
          <cell r="E92">
            <v>216</v>
          </cell>
        </row>
        <row r="93">
          <cell r="A93">
            <v>1994</v>
          </cell>
          <cell r="B93">
            <v>34670</v>
          </cell>
          <cell r="C93" t="str">
            <v>加拿大</v>
          </cell>
          <cell r="D93" t="str">
            <v>香料</v>
          </cell>
          <cell r="E93">
            <v>616</v>
          </cell>
        </row>
        <row r="94">
          <cell r="A94">
            <v>1994</v>
          </cell>
          <cell r="B94">
            <v>34670</v>
          </cell>
          <cell r="C94" t="str">
            <v>加拿大</v>
          </cell>
          <cell r="D94" t="str">
            <v>香料</v>
          </cell>
          <cell r="E94">
            <v>1680</v>
          </cell>
        </row>
        <row r="95">
          <cell r="A95">
            <v>1994</v>
          </cell>
          <cell r="B95">
            <v>34673</v>
          </cell>
          <cell r="C95" t="str">
            <v>美国</v>
          </cell>
          <cell r="D95" t="str">
            <v>香料</v>
          </cell>
          <cell r="E95">
            <v>2240</v>
          </cell>
        </row>
        <row r="96">
          <cell r="A96">
            <v>1994</v>
          </cell>
          <cell r="B96">
            <v>34673</v>
          </cell>
          <cell r="C96" t="str">
            <v>美国</v>
          </cell>
          <cell r="D96" t="str">
            <v>糖果</v>
          </cell>
          <cell r="E96">
            <v>584</v>
          </cell>
        </row>
        <row r="97">
          <cell r="A97">
            <v>1994</v>
          </cell>
          <cell r="B97">
            <v>34673</v>
          </cell>
          <cell r="C97" t="str">
            <v>美国</v>
          </cell>
          <cell r="D97" t="str">
            <v>面食/谷类</v>
          </cell>
          <cell r="E97">
            <v>100.8</v>
          </cell>
        </row>
        <row r="98">
          <cell r="A98">
            <v>1994</v>
          </cell>
          <cell r="B98">
            <v>34674</v>
          </cell>
          <cell r="C98" t="str">
            <v>加拿大</v>
          </cell>
          <cell r="D98" t="str">
            <v>肉/家禽</v>
          </cell>
          <cell r="E98">
            <v>1010.8799983263016</v>
          </cell>
        </row>
        <row r="99">
          <cell r="A99">
            <v>1994</v>
          </cell>
          <cell r="B99">
            <v>34674</v>
          </cell>
          <cell r="C99" t="str">
            <v>加拿大</v>
          </cell>
          <cell r="D99" t="str">
            <v>面食/谷类</v>
          </cell>
          <cell r="E99">
            <v>608</v>
          </cell>
        </row>
        <row r="100">
          <cell r="A100">
            <v>1994</v>
          </cell>
          <cell r="B100">
            <v>34676</v>
          </cell>
          <cell r="C100" t="str">
            <v>美国</v>
          </cell>
          <cell r="D100" t="str">
            <v>饮料</v>
          </cell>
          <cell r="E100">
            <v>183.59999871253967</v>
          </cell>
        </row>
        <row r="101">
          <cell r="A101">
            <v>1994</v>
          </cell>
          <cell r="B101">
            <v>34676</v>
          </cell>
          <cell r="C101" t="str">
            <v>美国</v>
          </cell>
          <cell r="D101" t="str">
            <v>面食/谷类</v>
          </cell>
          <cell r="E101">
            <v>180</v>
          </cell>
        </row>
        <row r="102">
          <cell r="A102">
            <v>1994</v>
          </cell>
          <cell r="B102">
            <v>34677</v>
          </cell>
          <cell r="C102" t="str">
            <v>加拿大</v>
          </cell>
          <cell r="D102" t="str">
            <v>肉/家禽</v>
          </cell>
          <cell r="E102">
            <v>141.6</v>
          </cell>
        </row>
        <row r="103">
          <cell r="A103">
            <v>1994</v>
          </cell>
          <cell r="B103">
            <v>34687</v>
          </cell>
          <cell r="C103" t="str">
            <v>美国</v>
          </cell>
          <cell r="D103" t="str">
            <v>乳制品</v>
          </cell>
          <cell r="E103">
            <v>300</v>
          </cell>
        </row>
        <row r="104">
          <cell r="A104">
            <v>1994</v>
          </cell>
          <cell r="B104">
            <v>34687</v>
          </cell>
          <cell r="C104" t="str">
            <v>美国</v>
          </cell>
          <cell r="D104" t="str">
            <v>肉/家禽</v>
          </cell>
          <cell r="E104">
            <v>230.4</v>
          </cell>
        </row>
        <row r="105">
          <cell r="A105">
            <v>1994</v>
          </cell>
          <cell r="B105">
            <v>34687</v>
          </cell>
          <cell r="C105" t="str">
            <v>美国</v>
          </cell>
          <cell r="D105" t="str">
            <v>乳制品</v>
          </cell>
          <cell r="E105">
            <v>576</v>
          </cell>
        </row>
        <row r="106">
          <cell r="A106">
            <v>1994</v>
          </cell>
          <cell r="B106">
            <v>34691</v>
          </cell>
          <cell r="C106" t="str">
            <v>美国</v>
          </cell>
          <cell r="D106" t="str">
            <v>饮料</v>
          </cell>
          <cell r="E106">
            <v>699.83999884128571</v>
          </cell>
        </row>
        <row r="107">
          <cell r="A107">
            <v>1994</v>
          </cell>
          <cell r="B107">
            <v>34691</v>
          </cell>
          <cell r="C107" t="str">
            <v>美国</v>
          </cell>
          <cell r="D107" t="str">
            <v>乳制品</v>
          </cell>
          <cell r="E107">
            <v>1346.3999977707863</v>
          </cell>
        </row>
        <row r="108">
          <cell r="A108">
            <v>1994</v>
          </cell>
          <cell r="B108">
            <v>34695</v>
          </cell>
          <cell r="C108" t="str">
            <v>美国</v>
          </cell>
          <cell r="D108" t="str">
            <v>乳制品</v>
          </cell>
          <cell r="E108">
            <v>200</v>
          </cell>
        </row>
        <row r="109">
          <cell r="A109">
            <v>1994</v>
          </cell>
          <cell r="B109">
            <v>34695</v>
          </cell>
          <cell r="C109" t="str">
            <v>美国</v>
          </cell>
          <cell r="D109" t="str">
            <v>饮料</v>
          </cell>
          <cell r="E109">
            <v>74.400000000000006</v>
          </cell>
        </row>
        <row r="110">
          <cell r="A110">
            <v>1994</v>
          </cell>
          <cell r="B110">
            <v>34695</v>
          </cell>
          <cell r="C110" t="str">
            <v>美国</v>
          </cell>
          <cell r="D110" t="str">
            <v>饮料</v>
          </cell>
          <cell r="E110">
            <v>172.8</v>
          </cell>
        </row>
        <row r="111">
          <cell r="A111">
            <v>1995</v>
          </cell>
          <cell r="B111">
            <v>34701</v>
          </cell>
          <cell r="C111" t="str">
            <v>加拿大</v>
          </cell>
          <cell r="D111" t="str">
            <v>肉/家禽</v>
          </cell>
          <cell r="E111">
            <v>1980</v>
          </cell>
        </row>
        <row r="112">
          <cell r="A112">
            <v>1995</v>
          </cell>
          <cell r="B112">
            <v>34701</v>
          </cell>
          <cell r="C112" t="str">
            <v>加拿大</v>
          </cell>
          <cell r="D112" t="str">
            <v>面食/谷类</v>
          </cell>
          <cell r="E112">
            <v>410.4</v>
          </cell>
        </row>
        <row r="113">
          <cell r="A113">
            <v>1995</v>
          </cell>
          <cell r="B113">
            <v>34705</v>
          </cell>
          <cell r="C113" t="str">
            <v>加拿大</v>
          </cell>
          <cell r="D113" t="str">
            <v>农产品</v>
          </cell>
          <cell r="E113">
            <v>279</v>
          </cell>
        </row>
        <row r="114">
          <cell r="A114">
            <v>1995</v>
          </cell>
          <cell r="B114">
            <v>34705</v>
          </cell>
          <cell r="C114" t="str">
            <v>加拿大</v>
          </cell>
          <cell r="D114" t="str">
            <v>肉/家禽</v>
          </cell>
          <cell r="E114">
            <v>59</v>
          </cell>
        </row>
        <row r="115">
          <cell r="A115">
            <v>1995</v>
          </cell>
          <cell r="B115">
            <v>34716</v>
          </cell>
          <cell r="C115" t="str">
            <v>加拿大</v>
          </cell>
          <cell r="D115" t="str">
            <v>农产品</v>
          </cell>
          <cell r="E115">
            <v>191.99999928474426</v>
          </cell>
        </row>
        <row r="116">
          <cell r="A116">
            <v>1995</v>
          </cell>
          <cell r="B116">
            <v>34716</v>
          </cell>
          <cell r="C116" t="str">
            <v>加拿大</v>
          </cell>
          <cell r="D116" t="str">
            <v>乳制品</v>
          </cell>
          <cell r="E116">
            <v>435.19999837875366</v>
          </cell>
        </row>
        <row r="117">
          <cell r="A117">
            <v>1995</v>
          </cell>
          <cell r="B117">
            <v>34716</v>
          </cell>
          <cell r="C117" t="str">
            <v>加拿大</v>
          </cell>
          <cell r="D117" t="str">
            <v>糖果</v>
          </cell>
          <cell r="E117">
            <v>63.999999761581421</v>
          </cell>
        </row>
        <row r="118">
          <cell r="A118">
            <v>1995</v>
          </cell>
          <cell r="B118">
            <v>34722</v>
          </cell>
          <cell r="C118" t="str">
            <v>美国</v>
          </cell>
          <cell r="D118" t="str">
            <v>海洋食品</v>
          </cell>
          <cell r="E118">
            <v>86.4</v>
          </cell>
        </row>
        <row r="119">
          <cell r="A119">
            <v>1995</v>
          </cell>
          <cell r="B119">
            <v>34724</v>
          </cell>
          <cell r="C119" t="str">
            <v>加拿大</v>
          </cell>
          <cell r="D119" t="str">
            <v>饮料</v>
          </cell>
          <cell r="E119">
            <v>285</v>
          </cell>
        </row>
        <row r="120">
          <cell r="A120">
            <v>1995</v>
          </cell>
          <cell r="B120">
            <v>34724</v>
          </cell>
          <cell r="C120" t="str">
            <v>加拿大</v>
          </cell>
          <cell r="D120" t="str">
            <v>农产品</v>
          </cell>
          <cell r="E120">
            <v>585.9</v>
          </cell>
        </row>
        <row r="121">
          <cell r="A121">
            <v>1995</v>
          </cell>
          <cell r="B121">
            <v>34724</v>
          </cell>
          <cell r="C121" t="str">
            <v>加拿大</v>
          </cell>
          <cell r="D121" t="str">
            <v>糖果</v>
          </cell>
          <cell r="E121">
            <v>58.8</v>
          </cell>
        </row>
        <row r="122">
          <cell r="A122">
            <v>1995</v>
          </cell>
          <cell r="B122">
            <v>34724</v>
          </cell>
          <cell r="C122" t="str">
            <v>加拿大</v>
          </cell>
          <cell r="D122" t="str">
            <v>糖果</v>
          </cell>
          <cell r="E122">
            <v>1307.25</v>
          </cell>
        </row>
        <row r="123">
          <cell r="A123">
            <v>1995</v>
          </cell>
          <cell r="B123">
            <v>34724</v>
          </cell>
          <cell r="C123" t="str">
            <v>加拿大</v>
          </cell>
          <cell r="D123" t="str">
            <v>乳制品</v>
          </cell>
          <cell r="E123">
            <v>320</v>
          </cell>
        </row>
        <row r="124">
          <cell r="A124">
            <v>1995</v>
          </cell>
          <cell r="B124">
            <v>34724</v>
          </cell>
          <cell r="C124" t="str">
            <v>加拿大</v>
          </cell>
          <cell r="D124" t="str">
            <v>海洋食品</v>
          </cell>
          <cell r="E124">
            <v>48</v>
          </cell>
        </row>
        <row r="125">
          <cell r="A125">
            <v>1995</v>
          </cell>
          <cell r="B125">
            <v>34724</v>
          </cell>
          <cell r="C125" t="str">
            <v>加拿大</v>
          </cell>
          <cell r="D125" t="str">
            <v>糖果</v>
          </cell>
          <cell r="E125">
            <v>394</v>
          </cell>
        </row>
        <row r="126">
          <cell r="A126">
            <v>1995</v>
          </cell>
          <cell r="B126">
            <v>34726</v>
          </cell>
          <cell r="C126" t="str">
            <v>美国</v>
          </cell>
          <cell r="D126" t="str">
            <v>面食/谷类</v>
          </cell>
          <cell r="E126">
            <v>288</v>
          </cell>
        </row>
        <row r="127">
          <cell r="A127">
            <v>1995</v>
          </cell>
          <cell r="B127">
            <v>34726</v>
          </cell>
          <cell r="C127" t="str">
            <v>美国</v>
          </cell>
          <cell r="D127" t="str">
            <v>乳制品</v>
          </cell>
          <cell r="E127">
            <v>1032</v>
          </cell>
        </row>
        <row r="128">
          <cell r="A128">
            <v>1995</v>
          </cell>
          <cell r="B128">
            <v>34726</v>
          </cell>
          <cell r="C128" t="str">
            <v>美国</v>
          </cell>
          <cell r="D128" t="str">
            <v>乳制品</v>
          </cell>
          <cell r="E128">
            <v>583.79999999999995</v>
          </cell>
        </row>
        <row r="129">
          <cell r="A129">
            <v>1995</v>
          </cell>
          <cell r="B129">
            <v>34729</v>
          </cell>
          <cell r="C129" t="str">
            <v>加拿大</v>
          </cell>
          <cell r="D129" t="str">
            <v>饮料</v>
          </cell>
          <cell r="E129">
            <v>432</v>
          </cell>
        </row>
        <row r="130">
          <cell r="A130">
            <v>1995</v>
          </cell>
          <cell r="B130">
            <v>34729</v>
          </cell>
          <cell r="C130" t="str">
            <v>加拿大</v>
          </cell>
          <cell r="D130" t="str">
            <v>肉/家禽</v>
          </cell>
          <cell r="E130">
            <v>2073.5999965667725</v>
          </cell>
        </row>
        <row r="131">
          <cell r="A131">
            <v>1995</v>
          </cell>
          <cell r="B131">
            <v>34731</v>
          </cell>
          <cell r="C131" t="str">
            <v>加拿大</v>
          </cell>
          <cell r="D131" t="str">
            <v>海洋食品</v>
          </cell>
          <cell r="E131">
            <v>372.6</v>
          </cell>
        </row>
        <row r="132">
          <cell r="A132">
            <v>1995</v>
          </cell>
          <cell r="B132">
            <v>34731</v>
          </cell>
          <cell r="C132" t="str">
            <v>加拿大</v>
          </cell>
          <cell r="D132" t="str">
            <v>面食/谷类</v>
          </cell>
          <cell r="E132">
            <v>2128</v>
          </cell>
        </row>
        <row r="133">
          <cell r="A133">
            <v>1995</v>
          </cell>
          <cell r="B133">
            <v>34731</v>
          </cell>
          <cell r="C133" t="str">
            <v>加拿大</v>
          </cell>
          <cell r="D133" t="str">
            <v>香料</v>
          </cell>
          <cell r="E133">
            <v>336</v>
          </cell>
        </row>
        <row r="134">
          <cell r="A134">
            <v>1995</v>
          </cell>
          <cell r="B134">
            <v>34731</v>
          </cell>
          <cell r="C134" t="str">
            <v>加拿大</v>
          </cell>
          <cell r="D134" t="str">
            <v>乳制品</v>
          </cell>
          <cell r="E134">
            <v>1032</v>
          </cell>
        </row>
        <row r="135">
          <cell r="A135">
            <v>1995</v>
          </cell>
          <cell r="B135">
            <v>34737</v>
          </cell>
          <cell r="C135" t="str">
            <v>美国</v>
          </cell>
          <cell r="D135" t="str">
            <v>乳制品</v>
          </cell>
          <cell r="E135">
            <v>504</v>
          </cell>
        </row>
        <row r="136">
          <cell r="A136">
            <v>1995</v>
          </cell>
          <cell r="B136">
            <v>34737</v>
          </cell>
          <cell r="C136" t="str">
            <v>美国</v>
          </cell>
          <cell r="D136" t="str">
            <v>乳制品</v>
          </cell>
          <cell r="E136">
            <v>432</v>
          </cell>
        </row>
        <row r="137">
          <cell r="A137">
            <v>1995</v>
          </cell>
          <cell r="B137">
            <v>34737</v>
          </cell>
          <cell r="C137" t="str">
            <v>美国</v>
          </cell>
          <cell r="D137" t="str">
            <v>乳制品</v>
          </cell>
          <cell r="E137">
            <v>258</v>
          </cell>
        </row>
        <row r="138">
          <cell r="A138">
            <v>1995</v>
          </cell>
          <cell r="B138">
            <v>34745</v>
          </cell>
          <cell r="C138" t="str">
            <v>加拿大</v>
          </cell>
          <cell r="D138" t="str">
            <v>肉/家禽</v>
          </cell>
          <cell r="E138">
            <v>62.4</v>
          </cell>
        </row>
        <row r="139">
          <cell r="A139">
            <v>1995</v>
          </cell>
          <cell r="B139">
            <v>34745</v>
          </cell>
          <cell r="C139" t="str">
            <v>加拿大</v>
          </cell>
          <cell r="D139" t="str">
            <v>乳制品</v>
          </cell>
          <cell r="E139">
            <v>40</v>
          </cell>
        </row>
        <row r="140">
          <cell r="A140">
            <v>1995</v>
          </cell>
          <cell r="B140">
            <v>34747</v>
          </cell>
          <cell r="C140" t="str">
            <v>美国</v>
          </cell>
          <cell r="D140" t="str">
            <v>饮料</v>
          </cell>
          <cell r="E140">
            <v>912</v>
          </cell>
        </row>
        <row r="141">
          <cell r="A141">
            <v>1995</v>
          </cell>
          <cell r="B141">
            <v>34747</v>
          </cell>
          <cell r="C141" t="str">
            <v>美国</v>
          </cell>
          <cell r="D141" t="str">
            <v>糖果</v>
          </cell>
          <cell r="E141">
            <v>418</v>
          </cell>
        </row>
        <row r="142">
          <cell r="A142">
            <v>1995</v>
          </cell>
          <cell r="B142">
            <v>34747</v>
          </cell>
          <cell r="C142" t="str">
            <v>美国</v>
          </cell>
          <cell r="D142" t="str">
            <v>香料</v>
          </cell>
          <cell r="E142">
            <v>364.8</v>
          </cell>
        </row>
        <row r="143">
          <cell r="A143">
            <v>1995</v>
          </cell>
          <cell r="B143">
            <v>34747</v>
          </cell>
          <cell r="C143" t="str">
            <v>美国</v>
          </cell>
          <cell r="D143" t="str">
            <v>农产品</v>
          </cell>
          <cell r="E143">
            <v>120</v>
          </cell>
        </row>
        <row r="144">
          <cell r="A144">
            <v>1995</v>
          </cell>
          <cell r="B144">
            <v>34761</v>
          </cell>
          <cell r="C144" t="str">
            <v>加拿大</v>
          </cell>
          <cell r="D144" t="str">
            <v>糖果</v>
          </cell>
          <cell r="E144">
            <v>249</v>
          </cell>
        </row>
        <row r="145">
          <cell r="A145">
            <v>1995</v>
          </cell>
          <cell r="B145">
            <v>34761</v>
          </cell>
          <cell r="C145" t="str">
            <v>加拿大</v>
          </cell>
          <cell r="D145" t="str">
            <v>肉/家禽</v>
          </cell>
          <cell r="E145">
            <v>236</v>
          </cell>
        </row>
        <row r="146">
          <cell r="A146">
            <v>1995</v>
          </cell>
          <cell r="B146">
            <v>34767</v>
          </cell>
          <cell r="C146" t="str">
            <v>美国</v>
          </cell>
          <cell r="D146" t="str">
            <v>糖果</v>
          </cell>
          <cell r="E146">
            <v>87.59999967366457</v>
          </cell>
        </row>
        <row r="147">
          <cell r="A147">
            <v>1995</v>
          </cell>
          <cell r="B147">
            <v>34767</v>
          </cell>
          <cell r="C147" t="str">
            <v>美国</v>
          </cell>
          <cell r="D147" t="str">
            <v>饮料</v>
          </cell>
          <cell r="E147">
            <v>179.19999933242798</v>
          </cell>
        </row>
        <row r="148">
          <cell r="A148">
            <v>1995</v>
          </cell>
          <cell r="B148">
            <v>34767</v>
          </cell>
          <cell r="C148" t="str">
            <v>美国</v>
          </cell>
          <cell r="D148" t="str">
            <v>面食/谷类</v>
          </cell>
          <cell r="E148">
            <v>187.19999930262566</v>
          </cell>
        </row>
        <row r="149">
          <cell r="A149">
            <v>1995</v>
          </cell>
          <cell r="B149">
            <v>34771</v>
          </cell>
          <cell r="C149" t="str">
            <v>加拿大</v>
          </cell>
          <cell r="D149" t="str">
            <v>饮料</v>
          </cell>
          <cell r="E149">
            <v>581.3999959230423</v>
          </cell>
        </row>
        <row r="150">
          <cell r="A150">
            <v>1995</v>
          </cell>
          <cell r="B150">
            <v>34771</v>
          </cell>
          <cell r="C150" t="str">
            <v>加拿大</v>
          </cell>
          <cell r="D150" t="str">
            <v>糖果</v>
          </cell>
          <cell r="E150">
            <v>578.93499594032767</v>
          </cell>
        </row>
        <row r="151">
          <cell r="A151">
            <v>1995</v>
          </cell>
          <cell r="B151">
            <v>34771</v>
          </cell>
          <cell r="C151" t="str">
            <v>加拿大</v>
          </cell>
          <cell r="D151" t="str">
            <v>肉/家禽</v>
          </cell>
          <cell r="E151">
            <v>2019.5999858379364</v>
          </cell>
        </row>
        <row r="152">
          <cell r="A152">
            <v>1995</v>
          </cell>
          <cell r="B152">
            <v>34771</v>
          </cell>
          <cell r="C152" t="str">
            <v>加拿大</v>
          </cell>
          <cell r="D152" t="str">
            <v>香料</v>
          </cell>
          <cell r="E152">
            <v>1744.1999877691269</v>
          </cell>
        </row>
        <row r="153">
          <cell r="A153">
            <v>1995</v>
          </cell>
          <cell r="B153">
            <v>34771</v>
          </cell>
          <cell r="C153" t="str">
            <v>加拿大</v>
          </cell>
          <cell r="D153" t="str">
            <v>糖果</v>
          </cell>
          <cell r="E153">
            <v>1755</v>
          </cell>
        </row>
        <row r="154">
          <cell r="A154">
            <v>1995</v>
          </cell>
          <cell r="B154">
            <v>34775</v>
          </cell>
          <cell r="C154" t="str">
            <v>美国</v>
          </cell>
          <cell r="D154" t="str">
            <v>糖果</v>
          </cell>
          <cell r="E154">
            <v>78.839999869465828</v>
          </cell>
        </row>
        <row r="155">
          <cell r="A155">
            <v>1995</v>
          </cell>
          <cell r="B155">
            <v>34775</v>
          </cell>
          <cell r="C155" t="str">
            <v>美国</v>
          </cell>
          <cell r="D155" t="str">
            <v>饮料</v>
          </cell>
          <cell r="E155">
            <v>64.799999892711639</v>
          </cell>
        </row>
        <row r="156">
          <cell r="A156">
            <v>1995</v>
          </cell>
          <cell r="B156">
            <v>34775</v>
          </cell>
          <cell r="C156" t="str">
            <v>美国</v>
          </cell>
          <cell r="D156" t="str">
            <v>乳制品</v>
          </cell>
          <cell r="E156">
            <v>26.999999955296516</v>
          </cell>
        </row>
        <row r="157">
          <cell r="A157">
            <v>1995</v>
          </cell>
          <cell r="B157">
            <v>34775</v>
          </cell>
          <cell r="C157" t="str">
            <v>美国</v>
          </cell>
          <cell r="D157" t="str">
            <v>面食/谷类</v>
          </cell>
          <cell r="E157">
            <v>75.599999874830246</v>
          </cell>
        </row>
        <row r="158">
          <cell r="A158">
            <v>1995</v>
          </cell>
          <cell r="B158">
            <v>34780</v>
          </cell>
          <cell r="C158" t="str">
            <v>美国</v>
          </cell>
          <cell r="D158" t="str">
            <v>肉/家禽</v>
          </cell>
          <cell r="E158">
            <v>2073.5999965667725</v>
          </cell>
        </row>
        <row r="159">
          <cell r="A159">
            <v>1995</v>
          </cell>
          <cell r="B159">
            <v>34780</v>
          </cell>
          <cell r="C159" t="str">
            <v>美国</v>
          </cell>
          <cell r="D159" t="str">
            <v>面食/谷类</v>
          </cell>
          <cell r="E159">
            <v>837.89999861270189</v>
          </cell>
        </row>
        <row r="160">
          <cell r="A160">
            <v>1995</v>
          </cell>
          <cell r="B160">
            <v>34780</v>
          </cell>
          <cell r="C160" t="str">
            <v>美国</v>
          </cell>
          <cell r="D160" t="str">
            <v>香料</v>
          </cell>
          <cell r="E160">
            <v>423.35999929904938</v>
          </cell>
        </row>
        <row r="161">
          <cell r="A161">
            <v>1995</v>
          </cell>
          <cell r="B161">
            <v>34780</v>
          </cell>
          <cell r="C161" t="str">
            <v>美国</v>
          </cell>
          <cell r="D161" t="str">
            <v>香料</v>
          </cell>
          <cell r="E161">
            <v>514.79999914765358</v>
          </cell>
        </row>
        <row r="162">
          <cell r="A162">
            <v>1995</v>
          </cell>
          <cell r="B162">
            <v>34781</v>
          </cell>
          <cell r="C162" t="str">
            <v>加拿大</v>
          </cell>
          <cell r="D162" t="str">
            <v>农产品</v>
          </cell>
          <cell r="E162">
            <v>546</v>
          </cell>
        </row>
        <row r="163">
          <cell r="A163">
            <v>1995</v>
          </cell>
          <cell r="B163">
            <v>34781</v>
          </cell>
          <cell r="C163" t="str">
            <v>加拿大</v>
          </cell>
          <cell r="D163" t="str">
            <v>香料</v>
          </cell>
          <cell r="E163">
            <v>1472.49999884516</v>
          </cell>
        </row>
        <row r="164">
          <cell r="A164">
            <v>1995</v>
          </cell>
          <cell r="B164">
            <v>34786</v>
          </cell>
          <cell r="C164" t="str">
            <v>美国</v>
          </cell>
          <cell r="D164" t="str">
            <v>糖果</v>
          </cell>
          <cell r="E164">
            <v>271.99999809265137</v>
          </cell>
        </row>
        <row r="165">
          <cell r="A165">
            <v>1995</v>
          </cell>
          <cell r="B165">
            <v>34786</v>
          </cell>
          <cell r="C165" t="str">
            <v>美国</v>
          </cell>
          <cell r="D165" t="str">
            <v>糖果</v>
          </cell>
          <cell r="E165">
            <v>285.59999799728394</v>
          </cell>
        </row>
        <row r="166">
          <cell r="A166">
            <v>1995</v>
          </cell>
          <cell r="B166">
            <v>34786</v>
          </cell>
          <cell r="C166" t="str">
            <v>美国</v>
          </cell>
          <cell r="D166" t="str">
            <v>乳制品</v>
          </cell>
          <cell r="E166">
            <v>1584</v>
          </cell>
        </row>
        <row r="167">
          <cell r="A167">
            <v>1995</v>
          </cell>
          <cell r="B167">
            <v>34796</v>
          </cell>
          <cell r="C167" t="str">
            <v>美国</v>
          </cell>
          <cell r="D167" t="str">
            <v>海洋食品</v>
          </cell>
          <cell r="E167">
            <v>165.6</v>
          </cell>
        </row>
        <row r="168">
          <cell r="A168">
            <v>1995</v>
          </cell>
          <cell r="B168">
            <v>34796</v>
          </cell>
          <cell r="C168" t="str">
            <v>美国</v>
          </cell>
          <cell r="D168" t="str">
            <v>饮料</v>
          </cell>
          <cell r="E168">
            <v>552</v>
          </cell>
        </row>
        <row r="169">
          <cell r="A169">
            <v>1995</v>
          </cell>
          <cell r="B169">
            <v>34799</v>
          </cell>
          <cell r="C169" t="str">
            <v>加拿大</v>
          </cell>
          <cell r="D169" t="str">
            <v>饮料</v>
          </cell>
          <cell r="E169">
            <v>516.7999963760376</v>
          </cell>
        </row>
        <row r="170">
          <cell r="A170">
            <v>1995</v>
          </cell>
          <cell r="B170">
            <v>34799</v>
          </cell>
          <cell r="C170" t="str">
            <v>加拿大</v>
          </cell>
          <cell r="D170" t="str">
            <v>糖果</v>
          </cell>
          <cell r="E170">
            <v>413.52499710023403</v>
          </cell>
        </row>
        <row r="171">
          <cell r="A171">
            <v>1995</v>
          </cell>
          <cell r="B171">
            <v>34799</v>
          </cell>
          <cell r="C171" t="str">
            <v>加拿大</v>
          </cell>
          <cell r="D171" t="str">
            <v>香料</v>
          </cell>
          <cell r="E171">
            <v>26.349999815225601</v>
          </cell>
        </row>
        <row r="172">
          <cell r="A172">
            <v>1995</v>
          </cell>
          <cell r="B172">
            <v>34808</v>
          </cell>
          <cell r="C172" t="str">
            <v>加拿大</v>
          </cell>
          <cell r="D172" t="str">
            <v>饮料</v>
          </cell>
          <cell r="E172">
            <v>6324</v>
          </cell>
        </row>
        <row r="173">
          <cell r="A173">
            <v>1995</v>
          </cell>
          <cell r="B173">
            <v>34808</v>
          </cell>
          <cell r="C173" t="str">
            <v>加拿大</v>
          </cell>
          <cell r="D173" t="str">
            <v>肉/家禽</v>
          </cell>
          <cell r="E173">
            <v>733.6</v>
          </cell>
        </row>
        <row r="174">
          <cell r="A174">
            <v>1995</v>
          </cell>
          <cell r="B174">
            <v>34808</v>
          </cell>
          <cell r="C174" t="str">
            <v>加拿大</v>
          </cell>
          <cell r="D174" t="str">
            <v>乳制品</v>
          </cell>
          <cell r="E174">
            <v>2640</v>
          </cell>
        </row>
        <row r="175">
          <cell r="A175">
            <v>1995</v>
          </cell>
          <cell r="B175">
            <v>34808</v>
          </cell>
          <cell r="C175" t="str">
            <v>加拿大</v>
          </cell>
          <cell r="D175" t="str">
            <v>面食/谷类</v>
          </cell>
          <cell r="E175">
            <v>798</v>
          </cell>
        </row>
        <row r="176">
          <cell r="A176">
            <v>1995</v>
          </cell>
          <cell r="B176">
            <v>34810</v>
          </cell>
          <cell r="C176" t="str">
            <v>加拿大</v>
          </cell>
          <cell r="D176" t="str">
            <v>海洋食品</v>
          </cell>
          <cell r="E176">
            <v>147</v>
          </cell>
        </row>
        <row r="177">
          <cell r="A177">
            <v>1995</v>
          </cell>
          <cell r="B177">
            <v>34813</v>
          </cell>
          <cell r="C177" t="str">
            <v>加拿大</v>
          </cell>
          <cell r="D177" t="str">
            <v>饮料</v>
          </cell>
          <cell r="E177">
            <v>372.39999970793724</v>
          </cell>
        </row>
        <row r="178">
          <cell r="A178">
            <v>1995</v>
          </cell>
          <cell r="B178">
            <v>34813</v>
          </cell>
          <cell r="C178" t="str">
            <v>加拿大</v>
          </cell>
          <cell r="D178" t="str">
            <v>香料</v>
          </cell>
          <cell r="E178">
            <v>296.39999976754189</v>
          </cell>
        </row>
        <row r="179">
          <cell r="A179">
            <v>1995</v>
          </cell>
          <cell r="B179">
            <v>34816</v>
          </cell>
          <cell r="C179" t="str">
            <v>美国</v>
          </cell>
          <cell r="D179" t="str">
            <v>乳制品</v>
          </cell>
          <cell r="E179">
            <v>1320</v>
          </cell>
        </row>
        <row r="180">
          <cell r="A180">
            <v>1995</v>
          </cell>
          <cell r="B180">
            <v>34816</v>
          </cell>
          <cell r="C180" t="str">
            <v>美国</v>
          </cell>
          <cell r="D180" t="str">
            <v>海洋食品</v>
          </cell>
          <cell r="E180">
            <v>191.99999928474426</v>
          </cell>
        </row>
        <row r="181">
          <cell r="A181">
            <v>1995</v>
          </cell>
          <cell r="B181">
            <v>34824</v>
          </cell>
          <cell r="C181" t="str">
            <v>美国</v>
          </cell>
          <cell r="D181" t="str">
            <v>面食/谷类</v>
          </cell>
          <cell r="E181">
            <v>425.6</v>
          </cell>
        </row>
        <row r="182">
          <cell r="A182">
            <v>1995</v>
          </cell>
          <cell r="B182">
            <v>34824</v>
          </cell>
          <cell r="C182" t="str">
            <v>美国</v>
          </cell>
          <cell r="D182" t="str">
            <v>乳制品</v>
          </cell>
          <cell r="E182">
            <v>695</v>
          </cell>
        </row>
        <row r="183">
          <cell r="A183">
            <v>1995</v>
          </cell>
          <cell r="B183">
            <v>34824</v>
          </cell>
          <cell r="C183" t="str">
            <v>美国</v>
          </cell>
          <cell r="D183" t="str">
            <v>香料</v>
          </cell>
          <cell r="E183">
            <v>260</v>
          </cell>
        </row>
        <row r="184">
          <cell r="A184">
            <v>1995</v>
          </cell>
          <cell r="B184">
            <v>34829</v>
          </cell>
          <cell r="C184" t="str">
            <v>美国</v>
          </cell>
          <cell r="D184" t="str">
            <v>肉/家禽</v>
          </cell>
          <cell r="E184">
            <v>149</v>
          </cell>
        </row>
        <row r="185">
          <cell r="A185">
            <v>1995</v>
          </cell>
          <cell r="B185">
            <v>34831</v>
          </cell>
          <cell r="C185" t="str">
            <v>加拿大</v>
          </cell>
          <cell r="D185" t="str">
            <v>饮料</v>
          </cell>
          <cell r="E185">
            <v>228</v>
          </cell>
        </row>
        <row r="186">
          <cell r="A186">
            <v>1995</v>
          </cell>
          <cell r="B186">
            <v>34831</v>
          </cell>
          <cell r="C186" t="str">
            <v>加拿大</v>
          </cell>
          <cell r="D186" t="str">
            <v>糖果</v>
          </cell>
          <cell r="E186">
            <v>120</v>
          </cell>
        </row>
        <row r="187">
          <cell r="A187">
            <v>1995</v>
          </cell>
          <cell r="B187">
            <v>34831</v>
          </cell>
          <cell r="C187" t="str">
            <v>加拿大</v>
          </cell>
          <cell r="D187" t="str">
            <v>肉/家禽</v>
          </cell>
          <cell r="E187">
            <v>328</v>
          </cell>
        </row>
        <row r="188">
          <cell r="A188">
            <v>1995</v>
          </cell>
          <cell r="B188">
            <v>34831</v>
          </cell>
          <cell r="C188" t="str">
            <v>加拿大</v>
          </cell>
          <cell r="D188" t="str">
            <v>香料</v>
          </cell>
          <cell r="E188">
            <v>712.5</v>
          </cell>
        </row>
        <row r="189">
          <cell r="A189">
            <v>1995</v>
          </cell>
          <cell r="B189">
            <v>34835</v>
          </cell>
          <cell r="C189" t="str">
            <v>美国</v>
          </cell>
          <cell r="D189" t="str">
            <v>糖果</v>
          </cell>
          <cell r="E189">
            <v>226.79999962449074</v>
          </cell>
        </row>
        <row r="190">
          <cell r="A190">
            <v>1995</v>
          </cell>
          <cell r="B190">
            <v>34835</v>
          </cell>
          <cell r="C190" t="str">
            <v>美国</v>
          </cell>
          <cell r="D190" t="str">
            <v>饮料</v>
          </cell>
          <cell r="E190">
            <v>188.99999968707561</v>
          </cell>
        </row>
        <row r="191">
          <cell r="A191">
            <v>1995</v>
          </cell>
          <cell r="B191">
            <v>34836</v>
          </cell>
          <cell r="C191" t="str">
            <v>美国</v>
          </cell>
          <cell r="D191" t="str">
            <v>海洋食品</v>
          </cell>
          <cell r="E191">
            <v>60</v>
          </cell>
        </row>
        <row r="192">
          <cell r="A192">
            <v>1995</v>
          </cell>
          <cell r="B192">
            <v>34836</v>
          </cell>
          <cell r="C192" t="str">
            <v>美国</v>
          </cell>
          <cell r="D192" t="str">
            <v>饮料</v>
          </cell>
          <cell r="E192">
            <v>180</v>
          </cell>
        </row>
        <row r="193">
          <cell r="A193">
            <v>1995</v>
          </cell>
          <cell r="B193">
            <v>34837</v>
          </cell>
          <cell r="C193" t="str">
            <v>美国</v>
          </cell>
          <cell r="D193" t="str">
            <v>农产品</v>
          </cell>
          <cell r="E193">
            <v>136.80000000000001</v>
          </cell>
        </row>
        <row r="194">
          <cell r="A194">
            <v>1995</v>
          </cell>
          <cell r="B194">
            <v>34838</v>
          </cell>
          <cell r="C194" t="str">
            <v>加拿大</v>
          </cell>
          <cell r="D194" t="str">
            <v>肉/家禽</v>
          </cell>
          <cell r="E194">
            <v>4456.4399999999996</v>
          </cell>
        </row>
        <row r="195">
          <cell r="A195">
            <v>1995</v>
          </cell>
          <cell r="B195">
            <v>34838</v>
          </cell>
          <cell r="C195" t="str">
            <v>加拿大</v>
          </cell>
          <cell r="D195" t="str">
            <v>饮料</v>
          </cell>
          <cell r="E195">
            <v>251.0999995842576</v>
          </cell>
        </row>
        <row r="196">
          <cell r="A196">
            <v>1995</v>
          </cell>
          <cell r="B196">
            <v>34842</v>
          </cell>
          <cell r="C196" t="str">
            <v>美国</v>
          </cell>
          <cell r="D196" t="str">
            <v>糖果</v>
          </cell>
          <cell r="E196">
            <v>319.9999988079071</v>
          </cell>
        </row>
        <row r="197">
          <cell r="A197">
            <v>1995</v>
          </cell>
          <cell r="B197">
            <v>34842</v>
          </cell>
          <cell r="C197" t="str">
            <v>美国</v>
          </cell>
          <cell r="D197" t="str">
            <v>乳制品</v>
          </cell>
          <cell r="E197">
            <v>1279.9999952316284</v>
          </cell>
        </row>
        <row r="198">
          <cell r="A198">
            <v>1995</v>
          </cell>
          <cell r="B198">
            <v>34842</v>
          </cell>
          <cell r="C198" t="str">
            <v>美国</v>
          </cell>
          <cell r="D198" t="str">
            <v>香料</v>
          </cell>
          <cell r="E198">
            <v>341.99999872595072</v>
          </cell>
        </row>
        <row r="199">
          <cell r="A199">
            <v>1995</v>
          </cell>
          <cell r="B199">
            <v>34843</v>
          </cell>
          <cell r="C199" t="str">
            <v>美国</v>
          </cell>
          <cell r="D199" t="str">
            <v>肉/家禽</v>
          </cell>
          <cell r="E199">
            <v>1319.1999907493591</v>
          </cell>
        </row>
        <row r="200">
          <cell r="A200">
            <v>1995</v>
          </cell>
          <cell r="B200">
            <v>34843</v>
          </cell>
          <cell r="C200" t="str">
            <v>美国</v>
          </cell>
          <cell r="D200" t="str">
            <v>糖果</v>
          </cell>
          <cell r="E200">
            <v>872.5</v>
          </cell>
        </row>
        <row r="201">
          <cell r="A201">
            <v>1995</v>
          </cell>
          <cell r="B201">
            <v>34843</v>
          </cell>
          <cell r="C201" t="str">
            <v>美国</v>
          </cell>
          <cell r="D201" t="str">
            <v>糖果</v>
          </cell>
          <cell r="E201">
            <v>5268</v>
          </cell>
        </row>
        <row r="202">
          <cell r="A202">
            <v>1995</v>
          </cell>
          <cell r="B202">
            <v>34843</v>
          </cell>
          <cell r="C202" t="str">
            <v>美国</v>
          </cell>
          <cell r="D202" t="str">
            <v>乳制品</v>
          </cell>
          <cell r="E202">
            <v>33.999999761581421</v>
          </cell>
        </row>
        <row r="203">
          <cell r="A203">
            <v>1995</v>
          </cell>
          <cell r="B203">
            <v>34843</v>
          </cell>
          <cell r="C203" t="str">
            <v>美国</v>
          </cell>
          <cell r="D203" t="str">
            <v>乳制品</v>
          </cell>
          <cell r="E203">
            <v>2427.5999829769135</v>
          </cell>
        </row>
        <row r="204">
          <cell r="A204">
            <v>1995</v>
          </cell>
          <cell r="B204">
            <v>34850</v>
          </cell>
          <cell r="C204" t="str">
            <v>美国</v>
          </cell>
          <cell r="D204" t="str">
            <v>饮料</v>
          </cell>
          <cell r="E204">
            <v>575.99999785423279</v>
          </cell>
        </row>
        <row r="205">
          <cell r="A205">
            <v>1995</v>
          </cell>
          <cell r="B205">
            <v>34850</v>
          </cell>
          <cell r="C205" t="str">
            <v>美国</v>
          </cell>
          <cell r="D205" t="str">
            <v>香料</v>
          </cell>
          <cell r="E205">
            <v>960</v>
          </cell>
        </row>
        <row r="206">
          <cell r="A206">
            <v>1995</v>
          </cell>
          <cell r="B206">
            <v>34850</v>
          </cell>
          <cell r="C206" t="str">
            <v>美国</v>
          </cell>
          <cell r="D206" t="str">
            <v>海洋食品</v>
          </cell>
          <cell r="E206">
            <v>414.23999845683574</v>
          </cell>
        </row>
        <row r="207">
          <cell r="A207">
            <v>1995</v>
          </cell>
          <cell r="B207">
            <v>34850</v>
          </cell>
          <cell r="C207" t="str">
            <v>美国</v>
          </cell>
          <cell r="D207" t="str">
            <v>海洋食品</v>
          </cell>
          <cell r="E207">
            <v>367.99999862909317</v>
          </cell>
        </row>
        <row r="208">
          <cell r="A208">
            <v>1995</v>
          </cell>
          <cell r="B208">
            <v>34855</v>
          </cell>
          <cell r="C208" t="str">
            <v>美国</v>
          </cell>
          <cell r="D208" t="str">
            <v>香料</v>
          </cell>
          <cell r="E208">
            <v>989.99999836087227</v>
          </cell>
        </row>
        <row r="209">
          <cell r="A209">
            <v>1995</v>
          </cell>
          <cell r="B209">
            <v>34855</v>
          </cell>
          <cell r="C209" t="str">
            <v>美国</v>
          </cell>
          <cell r="D209" t="str">
            <v>海洋食品</v>
          </cell>
          <cell r="E209">
            <v>512.99999915063381</v>
          </cell>
        </row>
        <row r="210">
          <cell r="A210">
            <v>1995</v>
          </cell>
          <cell r="B210">
            <v>34856</v>
          </cell>
          <cell r="C210" t="str">
            <v>加拿大</v>
          </cell>
          <cell r="D210" t="str">
            <v>乳制品</v>
          </cell>
          <cell r="E210">
            <v>63</v>
          </cell>
        </row>
        <row r="211">
          <cell r="A211">
            <v>1995</v>
          </cell>
          <cell r="B211">
            <v>34856</v>
          </cell>
          <cell r="C211" t="str">
            <v>加拿大</v>
          </cell>
          <cell r="D211" t="str">
            <v>乳制品</v>
          </cell>
          <cell r="E211">
            <v>15.999999940395355</v>
          </cell>
        </row>
        <row r="212">
          <cell r="A212">
            <v>1995</v>
          </cell>
          <cell r="B212">
            <v>34856</v>
          </cell>
          <cell r="C212" t="str">
            <v>加拿大</v>
          </cell>
          <cell r="D212" t="str">
            <v>乳制品</v>
          </cell>
          <cell r="E212">
            <v>313.2</v>
          </cell>
        </row>
        <row r="213">
          <cell r="A213">
            <v>1995</v>
          </cell>
          <cell r="B213">
            <v>34862</v>
          </cell>
          <cell r="C213" t="str">
            <v>美国</v>
          </cell>
          <cell r="D213" t="str">
            <v>海洋食品</v>
          </cell>
          <cell r="E213">
            <v>258.89999999999998</v>
          </cell>
        </row>
        <row r="214">
          <cell r="A214">
            <v>1995</v>
          </cell>
          <cell r="B214">
            <v>34862</v>
          </cell>
          <cell r="C214" t="str">
            <v>美国</v>
          </cell>
          <cell r="D214" t="str">
            <v>海洋食品</v>
          </cell>
          <cell r="E214">
            <v>147.19999945163727</v>
          </cell>
        </row>
        <row r="215">
          <cell r="A215">
            <v>1995</v>
          </cell>
          <cell r="B215">
            <v>34862</v>
          </cell>
          <cell r="C215" t="str">
            <v>美国</v>
          </cell>
          <cell r="D215" t="str">
            <v>肉/家禽</v>
          </cell>
          <cell r="E215">
            <v>59.599999777972698</v>
          </cell>
        </row>
        <row r="216">
          <cell r="A216">
            <v>1995</v>
          </cell>
          <cell r="B216">
            <v>34864</v>
          </cell>
          <cell r="C216" t="str">
            <v>美国</v>
          </cell>
          <cell r="D216" t="str">
            <v>乳制品</v>
          </cell>
          <cell r="E216">
            <v>427.5</v>
          </cell>
        </row>
        <row r="217">
          <cell r="A217">
            <v>1995</v>
          </cell>
          <cell r="B217">
            <v>34864</v>
          </cell>
          <cell r="C217" t="str">
            <v>美国</v>
          </cell>
          <cell r="D217" t="str">
            <v>乳制品</v>
          </cell>
          <cell r="E217">
            <v>250</v>
          </cell>
        </row>
        <row r="218">
          <cell r="A218">
            <v>1995</v>
          </cell>
          <cell r="B218">
            <v>34864</v>
          </cell>
          <cell r="C218" t="str">
            <v>美国</v>
          </cell>
          <cell r="D218" t="str">
            <v>乳制品</v>
          </cell>
          <cell r="E218">
            <v>75</v>
          </cell>
        </row>
        <row r="219">
          <cell r="A219">
            <v>1995</v>
          </cell>
          <cell r="B219">
            <v>34864</v>
          </cell>
          <cell r="C219" t="str">
            <v>美国</v>
          </cell>
          <cell r="D219" t="str">
            <v>乳制品</v>
          </cell>
          <cell r="E219">
            <v>892.5</v>
          </cell>
        </row>
        <row r="220">
          <cell r="A220">
            <v>1995</v>
          </cell>
          <cell r="B220">
            <v>34869</v>
          </cell>
          <cell r="C220" t="str">
            <v>美国</v>
          </cell>
          <cell r="D220" t="str">
            <v>香料</v>
          </cell>
          <cell r="E220">
            <v>600</v>
          </cell>
        </row>
        <row r="221">
          <cell r="A221">
            <v>1995</v>
          </cell>
          <cell r="B221">
            <v>34869</v>
          </cell>
          <cell r="C221" t="str">
            <v>美国</v>
          </cell>
          <cell r="D221" t="str">
            <v>糖果</v>
          </cell>
          <cell r="E221">
            <v>1249.2</v>
          </cell>
        </row>
        <row r="222">
          <cell r="A222">
            <v>1995</v>
          </cell>
          <cell r="B222">
            <v>34869</v>
          </cell>
          <cell r="C222" t="str">
            <v>美国</v>
          </cell>
          <cell r="D222" t="str">
            <v>饮料</v>
          </cell>
          <cell r="E222">
            <v>7905</v>
          </cell>
        </row>
        <row r="223">
          <cell r="A223">
            <v>1995</v>
          </cell>
          <cell r="B223">
            <v>34869</v>
          </cell>
          <cell r="C223" t="str">
            <v>美国</v>
          </cell>
          <cell r="D223" t="str">
            <v>糖果</v>
          </cell>
          <cell r="E223">
            <v>437.5</v>
          </cell>
        </row>
        <row r="224">
          <cell r="A224">
            <v>1995</v>
          </cell>
          <cell r="B224">
            <v>34870</v>
          </cell>
          <cell r="C224" t="str">
            <v>美国</v>
          </cell>
          <cell r="D224" t="str">
            <v>乳制品</v>
          </cell>
          <cell r="E224">
            <v>299.24999976530671</v>
          </cell>
        </row>
        <row r="225">
          <cell r="A225">
            <v>1995</v>
          </cell>
          <cell r="B225">
            <v>34870</v>
          </cell>
          <cell r="C225" t="str">
            <v>美国</v>
          </cell>
          <cell r="D225" t="str">
            <v>肉/家禽</v>
          </cell>
          <cell r="E225">
            <v>169.85999986678362</v>
          </cell>
        </row>
        <row r="226">
          <cell r="A226">
            <v>1995</v>
          </cell>
          <cell r="B226">
            <v>34871</v>
          </cell>
          <cell r="C226" t="str">
            <v>加拿大</v>
          </cell>
          <cell r="D226" t="str">
            <v>农产品</v>
          </cell>
          <cell r="E226">
            <v>319.2</v>
          </cell>
        </row>
        <row r="227">
          <cell r="A227">
            <v>1995</v>
          </cell>
          <cell r="B227">
            <v>34871</v>
          </cell>
          <cell r="C227" t="str">
            <v>加拿大</v>
          </cell>
          <cell r="D227" t="str">
            <v>饮料</v>
          </cell>
          <cell r="E227">
            <v>98</v>
          </cell>
        </row>
        <row r="228">
          <cell r="A228">
            <v>1995</v>
          </cell>
          <cell r="B228">
            <v>34872</v>
          </cell>
          <cell r="C228" t="str">
            <v>加拿大</v>
          </cell>
          <cell r="D228" t="str">
            <v>乳制品</v>
          </cell>
          <cell r="E228">
            <v>210</v>
          </cell>
        </row>
        <row r="229">
          <cell r="A229">
            <v>1995</v>
          </cell>
          <cell r="B229">
            <v>34876</v>
          </cell>
          <cell r="C229" t="str">
            <v>美国</v>
          </cell>
          <cell r="D229" t="str">
            <v>饮料</v>
          </cell>
          <cell r="E229">
            <v>105</v>
          </cell>
        </row>
        <row r="230">
          <cell r="A230">
            <v>1995</v>
          </cell>
          <cell r="B230">
            <v>34876</v>
          </cell>
          <cell r="C230" t="str">
            <v>美国</v>
          </cell>
          <cell r="D230" t="str">
            <v>海洋食品</v>
          </cell>
          <cell r="E230">
            <v>135.1</v>
          </cell>
        </row>
        <row r="231">
          <cell r="A231">
            <v>1995</v>
          </cell>
          <cell r="B231">
            <v>34877</v>
          </cell>
          <cell r="C231" t="str">
            <v>美国</v>
          </cell>
          <cell r="D231" t="str">
            <v>乳制品</v>
          </cell>
          <cell r="E231">
            <v>584.37499590218067</v>
          </cell>
        </row>
        <row r="232">
          <cell r="A232">
            <v>1995</v>
          </cell>
          <cell r="B232">
            <v>34877</v>
          </cell>
          <cell r="C232" t="str">
            <v>美国</v>
          </cell>
          <cell r="D232" t="str">
            <v>海洋食品</v>
          </cell>
          <cell r="E232">
            <v>807.49999433755875</v>
          </cell>
        </row>
        <row r="233">
          <cell r="A233">
            <v>1995</v>
          </cell>
          <cell r="B233">
            <v>34877</v>
          </cell>
          <cell r="C233" t="str">
            <v>美国</v>
          </cell>
          <cell r="D233" t="str">
            <v>农产品</v>
          </cell>
          <cell r="E233">
            <v>2162.3999848365784</v>
          </cell>
        </row>
        <row r="234">
          <cell r="A234">
            <v>1995</v>
          </cell>
          <cell r="B234">
            <v>34880</v>
          </cell>
          <cell r="C234" t="str">
            <v>美国</v>
          </cell>
          <cell r="D234" t="str">
            <v>糖果</v>
          </cell>
          <cell r="E234">
            <v>497.32499960996211</v>
          </cell>
        </row>
        <row r="235">
          <cell r="A235">
            <v>1995</v>
          </cell>
          <cell r="B235">
            <v>34880</v>
          </cell>
          <cell r="C235" t="str">
            <v>美国</v>
          </cell>
          <cell r="D235" t="str">
            <v>面食/谷类</v>
          </cell>
          <cell r="E235">
            <v>170.99999986588955</v>
          </cell>
        </row>
        <row r="236">
          <cell r="A236">
            <v>1995</v>
          </cell>
          <cell r="B236">
            <v>34880</v>
          </cell>
          <cell r="C236" t="str">
            <v>美国</v>
          </cell>
          <cell r="D236" t="str">
            <v>糖果</v>
          </cell>
          <cell r="E236">
            <v>936.69999926537275</v>
          </cell>
        </row>
        <row r="237">
          <cell r="A237">
            <v>1995</v>
          </cell>
          <cell r="B237">
            <v>34880</v>
          </cell>
          <cell r="C237" t="str">
            <v>美国</v>
          </cell>
          <cell r="D237" t="str">
            <v>香料</v>
          </cell>
          <cell r="E237">
            <v>123.49999990314245</v>
          </cell>
        </row>
        <row r="238">
          <cell r="A238">
            <v>1995</v>
          </cell>
          <cell r="B238">
            <v>34883</v>
          </cell>
          <cell r="C238" t="str">
            <v>加拿大</v>
          </cell>
          <cell r="D238" t="str">
            <v>农产品</v>
          </cell>
          <cell r="E238">
            <v>557.99999792128801</v>
          </cell>
        </row>
        <row r="239">
          <cell r="A239">
            <v>1995</v>
          </cell>
          <cell r="B239">
            <v>34883</v>
          </cell>
          <cell r="C239" t="str">
            <v>加拿大</v>
          </cell>
          <cell r="D239" t="str">
            <v>糖果</v>
          </cell>
          <cell r="E239">
            <v>257.59999904036522</v>
          </cell>
        </row>
        <row r="240">
          <cell r="A240">
            <v>1995</v>
          </cell>
          <cell r="B240">
            <v>34883</v>
          </cell>
          <cell r="C240" t="str">
            <v>加拿大</v>
          </cell>
          <cell r="D240" t="str">
            <v>饮料</v>
          </cell>
          <cell r="E240">
            <v>64.799999758601189</v>
          </cell>
        </row>
        <row r="241">
          <cell r="A241">
            <v>1995</v>
          </cell>
          <cell r="B241">
            <v>34883</v>
          </cell>
          <cell r="C241" t="str">
            <v>加拿大</v>
          </cell>
          <cell r="D241" t="str">
            <v>农产品</v>
          </cell>
          <cell r="E241">
            <v>847.99999684095383</v>
          </cell>
        </row>
        <row r="242">
          <cell r="A242">
            <v>1995</v>
          </cell>
          <cell r="B242">
            <v>34883</v>
          </cell>
          <cell r="C242" t="str">
            <v>加拿大</v>
          </cell>
          <cell r="D242" t="str">
            <v>面食/谷类</v>
          </cell>
          <cell r="E242">
            <v>1215.999995470047</v>
          </cell>
        </row>
        <row r="243">
          <cell r="A243">
            <v>1995</v>
          </cell>
          <cell r="B243">
            <v>34884</v>
          </cell>
          <cell r="C243" t="str">
            <v>美国</v>
          </cell>
          <cell r="D243" t="str">
            <v>面食/谷类</v>
          </cell>
          <cell r="E243">
            <v>997.5</v>
          </cell>
        </row>
        <row r="244">
          <cell r="A244">
            <v>1995</v>
          </cell>
          <cell r="B244">
            <v>34884</v>
          </cell>
          <cell r="C244" t="str">
            <v>美国</v>
          </cell>
          <cell r="D244" t="str">
            <v>饮料</v>
          </cell>
          <cell r="E244">
            <v>155</v>
          </cell>
        </row>
        <row r="245">
          <cell r="A245">
            <v>1995</v>
          </cell>
          <cell r="B245">
            <v>34887</v>
          </cell>
          <cell r="C245" t="str">
            <v>美国</v>
          </cell>
          <cell r="D245" t="str">
            <v>海洋食品</v>
          </cell>
          <cell r="E245">
            <v>517.79999999999995</v>
          </cell>
        </row>
        <row r="246">
          <cell r="A246">
            <v>1995</v>
          </cell>
          <cell r="B246">
            <v>34887</v>
          </cell>
          <cell r="C246" t="str">
            <v>美国</v>
          </cell>
          <cell r="D246" t="str">
            <v>糖果</v>
          </cell>
          <cell r="E246">
            <v>554.625</v>
          </cell>
        </row>
        <row r="247">
          <cell r="A247">
            <v>1995</v>
          </cell>
          <cell r="B247">
            <v>34891</v>
          </cell>
          <cell r="C247" t="str">
            <v>加拿大</v>
          </cell>
          <cell r="D247" t="str">
            <v>肉/家禽</v>
          </cell>
          <cell r="E247">
            <v>592.79999953508377</v>
          </cell>
        </row>
        <row r="248">
          <cell r="A248">
            <v>1995</v>
          </cell>
          <cell r="B248">
            <v>34891</v>
          </cell>
          <cell r="C248" t="str">
            <v>加拿大</v>
          </cell>
          <cell r="D248" t="str">
            <v>乳制品</v>
          </cell>
          <cell r="E248">
            <v>71.249999944120646</v>
          </cell>
        </row>
        <row r="249">
          <cell r="A249">
            <v>1995</v>
          </cell>
          <cell r="B249">
            <v>34891</v>
          </cell>
          <cell r="C249" t="str">
            <v>加拿大</v>
          </cell>
          <cell r="D249" t="str">
            <v>肉/家禽</v>
          </cell>
          <cell r="E249">
            <v>569.99999955296516</v>
          </cell>
        </row>
        <row r="250">
          <cell r="A250">
            <v>1995</v>
          </cell>
          <cell r="B250">
            <v>34897</v>
          </cell>
          <cell r="C250" t="str">
            <v>加拿大</v>
          </cell>
          <cell r="D250" t="str">
            <v>乳制品</v>
          </cell>
          <cell r="E250">
            <v>349.9999986961484</v>
          </cell>
        </row>
        <row r="251">
          <cell r="A251">
            <v>1995</v>
          </cell>
          <cell r="B251">
            <v>34897</v>
          </cell>
          <cell r="C251" t="str">
            <v>加拿大</v>
          </cell>
          <cell r="D251" t="str">
            <v>饮料</v>
          </cell>
          <cell r="E251">
            <v>540</v>
          </cell>
        </row>
        <row r="252">
          <cell r="A252">
            <v>1995</v>
          </cell>
          <cell r="B252">
            <v>34900</v>
          </cell>
          <cell r="C252" t="str">
            <v>加拿大</v>
          </cell>
          <cell r="D252" t="str">
            <v>乳制品</v>
          </cell>
          <cell r="E252">
            <v>35</v>
          </cell>
        </row>
        <row r="253">
          <cell r="A253">
            <v>1995</v>
          </cell>
          <cell r="B253">
            <v>34900</v>
          </cell>
          <cell r="C253" t="str">
            <v>加拿大</v>
          </cell>
          <cell r="D253" t="str">
            <v>海洋食品</v>
          </cell>
          <cell r="E253">
            <v>36.799999999999997</v>
          </cell>
        </row>
        <row r="254">
          <cell r="A254">
            <v>1995</v>
          </cell>
          <cell r="B254">
            <v>34900</v>
          </cell>
          <cell r="C254" t="str">
            <v>加拿大</v>
          </cell>
          <cell r="D254" t="str">
            <v>糖果</v>
          </cell>
          <cell r="E254">
            <v>493</v>
          </cell>
        </row>
        <row r="255">
          <cell r="A255">
            <v>1995</v>
          </cell>
          <cell r="B255">
            <v>34900</v>
          </cell>
          <cell r="C255" t="str">
            <v>加拿大</v>
          </cell>
          <cell r="D255" t="str">
            <v>面食/谷类</v>
          </cell>
          <cell r="E255">
            <v>199.5</v>
          </cell>
        </row>
        <row r="256">
          <cell r="A256">
            <v>1995</v>
          </cell>
          <cell r="B256">
            <v>34901</v>
          </cell>
          <cell r="C256" t="str">
            <v>美国</v>
          </cell>
          <cell r="D256" t="str">
            <v>乳制品</v>
          </cell>
          <cell r="E256">
            <v>660</v>
          </cell>
        </row>
        <row r="257">
          <cell r="A257">
            <v>1995</v>
          </cell>
          <cell r="B257">
            <v>34901</v>
          </cell>
          <cell r="C257" t="str">
            <v>美国</v>
          </cell>
          <cell r="D257" t="str">
            <v>香料</v>
          </cell>
          <cell r="E257">
            <v>263.39999999999998</v>
          </cell>
        </row>
        <row r="258">
          <cell r="A258">
            <v>1995</v>
          </cell>
          <cell r="B258">
            <v>34901</v>
          </cell>
          <cell r="C258" t="str">
            <v>美国</v>
          </cell>
          <cell r="D258" t="str">
            <v>乳制品</v>
          </cell>
          <cell r="E258">
            <v>1044</v>
          </cell>
        </row>
        <row r="259">
          <cell r="A259">
            <v>1995</v>
          </cell>
          <cell r="B259">
            <v>34901</v>
          </cell>
          <cell r="C259" t="str">
            <v>美国</v>
          </cell>
          <cell r="D259" t="str">
            <v>饮料</v>
          </cell>
          <cell r="E259">
            <v>180</v>
          </cell>
        </row>
        <row r="260">
          <cell r="A260">
            <v>1995</v>
          </cell>
          <cell r="B260">
            <v>34904</v>
          </cell>
          <cell r="C260" t="str">
            <v>加拿大</v>
          </cell>
          <cell r="D260" t="str">
            <v>饮料</v>
          </cell>
          <cell r="E260">
            <v>180</v>
          </cell>
        </row>
        <row r="261">
          <cell r="A261">
            <v>1995</v>
          </cell>
          <cell r="B261">
            <v>34904</v>
          </cell>
          <cell r="C261" t="str">
            <v>加拿大</v>
          </cell>
          <cell r="D261" t="str">
            <v>饮料</v>
          </cell>
          <cell r="E261">
            <v>155</v>
          </cell>
        </row>
        <row r="262">
          <cell r="A262">
            <v>1995</v>
          </cell>
          <cell r="B262">
            <v>34904</v>
          </cell>
          <cell r="C262" t="str">
            <v>加拿大</v>
          </cell>
          <cell r="D262" t="str">
            <v>香料</v>
          </cell>
          <cell r="E262">
            <v>234</v>
          </cell>
        </row>
        <row r="263">
          <cell r="A263">
            <v>1995</v>
          </cell>
          <cell r="B263">
            <v>34906</v>
          </cell>
          <cell r="C263" t="str">
            <v>加拿大</v>
          </cell>
          <cell r="D263" t="str">
            <v>香料</v>
          </cell>
          <cell r="E263">
            <v>155</v>
          </cell>
        </row>
        <row r="264">
          <cell r="A264">
            <v>1995</v>
          </cell>
          <cell r="B264">
            <v>34906</v>
          </cell>
          <cell r="C264" t="str">
            <v>加拿大</v>
          </cell>
          <cell r="D264" t="str">
            <v>饮料</v>
          </cell>
          <cell r="E264">
            <v>162.75</v>
          </cell>
        </row>
        <row r="265">
          <cell r="A265">
            <v>1995</v>
          </cell>
          <cell r="B265">
            <v>34907</v>
          </cell>
          <cell r="C265" t="str">
            <v>美国</v>
          </cell>
          <cell r="D265" t="str">
            <v>农产品</v>
          </cell>
          <cell r="E265">
            <v>331.312499740161</v>
          </cell>
        </row>
        <row r="266">
          <cell r="A266">
            <v>1995</v>
          </cell>
          <cell r="B266">
            <v>34907</v>
          </cell>
          <cell r="C266" t="str">
            <v>美国</v>
          </cell>
          <cell r="D266" t="str">
            <v>海洋食品</v>
          </cell>
          <cell r="E266">
            <v>82.507499935291705</v>
          </cell>
        </row>
        <row r="267">
          <cell r="A267">
            <v>1995</v>
          </cell>
          <cell r="B267">
            <v>34907</v>
          </cell>
          <cell r="C267" t="str">
            <v>美国</v>
          </cell>
          <cell r="D267" t="str">
            <v>香料</v>
          </cell>
          <cell r="E267">
            <v>599.92499952949584</v>
          </cell>
        </row>
        <row r="268">
          <cell r="A268">
            <v>1995</v>
          </cell>
          <cell r="B268">
            <v>34908</v>
          </cell>
          <cell r="C268" t="str">
            <v>美国</v>
          </cell>
          <cell r="D268" t="str">
            <v>面食/谷类</v>
          </cell>
          <cell r="E268">
            <v>78</v>
          </cell>
        </row>
        <row r="269">
          <cell r="A269">
            <v>1995</v>
          </cell>
          <cell r="B269">
            <v>34908</v>
          </cell>
          <cell r="C269" t="str">
            <v>美国</v>
          </cell>
          <cell r="D269" t="str">
            <v>饮料</v>
          </cell>
          <cell r="E269">
            <v>252</v>
          </cell>
        </row>
        <row r="270">
          <cell r="A270">
            <v>1995</v>
          </cell>
          <cell r="B270">
            <v>34914</v>
          </cell>
          <cell r="C270" t="str">
            <v>美国</v>
          </cell>
          <cell r="D270" t="str">
            <v>海洋食品</v>
          </cell>
          <cell r="E270">
            <v>1999.9999925494194</v>
          </cell>
        </row>
        <row r="271">
          <cell r="A271">
            <v>1995</v>
          </cell>
          <cell r="B271">
            <v>34914</v>
          </cell>
          <cell r="C271" t="str">
            <v>美国</v>
          </cell>
          <cell r="D271" t="str">
            <v>面食/谷类</v>
          </cell>
          <cell r="E271">
            <v>1119.9999958276749</v>
          </cell>
        </row>
        <row r="272">
          <cell r="A272">
            <v>1995</v>
          </cell>
          <cell r="B272">
            <v>34915</v>
          </cell>
          <cell r="C272" t="str">
            <v>加拿大</v>
          </cell>
          <cell r="D272" t="str">
            <v>饮料</v>
          </cell>
          <cell r="E272">
            <v>72</v>
          </cell>
        </row>
        <row r="273">
          <cell r="A273">
            <v>1995</v>
          </cell>
          <cell r="B273">
            <v>34919</v>
          </cell>
          <cell r="C273" t="str">
            <v>美国</v>
          </cell>
          <cell r="D273" t="str">
            <v>香料</v>
          </cell>
          <cell r="E273">
            <v>368.12499971129</v>
          </cell>
        </row>
        <row r="274">
          <cell r="A274">
            <v>1995</v>
          </cell>
          <cell r="B274">
            <v>34919</v>
          </cell>
          <cell r="C274" t="str">
            <v>美国</v>
          </cell>
          <cell r="D274" t="str">
            <v>糖果</v>
          </cell>
          <cell r="E274">
            <v>148.3424998836592</v>
          </cell>
        </row>
        <row r="275">
          <cell r="A275">
            <v>1995</v>
          </cell>
          <cell r="B275">
            <v>34920</v>
          </cell>
          <cell r="C275" t="str">
            <v>美国</v>
          </cell>
          <cell r="D275" t="str">
            <v>糖果</v>
          </cell>
          <cell r="E275">
            <v>1360.799994930625</v>
          </cell>
        </row>
        <row r="276">
          <cell r="A276">
            <v>1995</v>
          </cell>
          <cell r="B276">
            <v>34920</v>
          </cell>
          <cell r="C276" t="str">
            <v>美国</v>
          </cell>
          <cell r="D276" t="str">
            <v>乳制品</v>
          </cell>
          <cell r="E276">
            <v>575.99999785423279</v>
          </cell>
        </row>
        <row r="277">
          <cell r="A277">
            <v>1995</v>
          </cell>
          <cell r="B277">
            <v>34920</v>
          </cell>
          <cell r="C277" t="str">
            <v>美国</v>
          </cell>
          <cell r="D277" t="str">
            <v>饮料</v>
          </cell>
          <cell r="E277">
            <v>57.599999785423279</v>
          </cell>
        </row>
        <row r="278">
          <cell r="A278">
            <v>1995</v>
          </cell>
          <cell r="B278">
            <v>34920</v>
          </cell>
          <cell r="C278" t="str">
            <v>加拿大</v>
          </cell>
          <cell r="D278" t="str">
            <v>面食/谷类</v>
          </cell>
          <cell r="E278">
            <v>168</v>
          </cell>
        </row>
        <row r="279">
          <cell r="A279">
            <v>1995</v>
          </cell>
          <cell r="B279">
            <v>34920</v>
          </cell>
          <cell r="C279" t="str">
            <v>加拿大</v>
          </cell>
          <cell r="D279" t="str">
            <v>海洋食品</v>
          </cell>
          <cell r="E279">
            <v>397.5</v>
          </cell>
        </row>
        <row r="280">
          <cell r="A280">
            <v>1995</v>
          </cell>
          <cell r="B280">
            <v>34922</v>
          </cell>
          <cell r="C280" t="str">
            <v>加拿大</v>
          </cell>
          <cell r="D280" t="str">
            <v>面食/谷类</v>
          </cell>
          <cell r="E280">
            <v>151.99999943375587</v>
          </cell>
        </row>
        <row r="281">
          <cell r="A281">
            <v>1995</v>
          </cell>
          <cell r="B281">
            <v>34922</v>
          </cell>
          <cell r="C281" t="str">
            <v>加拿大</v>
          </cell>
          <cell r="D281" t="str">
            <v>香料</v>
          </cell>
          <cell r="E281">
            <v>842.87999686002729</v>
          </cell>
        </row>
        <row r="282">
          <cell r="A282">
            <v>1995</v>
          </cell>
          <cell r="B282">
            <v>34922</v>
          </cell>
          <cell r="C282" t="str">
            <v>加拿大</v>
          </cell>
          <cell r="D282" t="str">
            <v>饮料</v>
          </cell>
          <cell r="E282">
            <v>185.999999307096</v>
          </cell>
        </row>
        <row r="283">
          <cell r="A283">
            <v>1995</v>
          </cell>
          <cell r="B283">
            <v>34925</v>
          </cell>
          <cell r="C283" t="str">
            <v>加拿大</v>
          </cell>
          <cell r="D283" t="str">
            <v>糖果</v>
          </cell>
          <cell r="E283">
            <v>2195</v>
          </cell>
        </row>
        <row r="284">
          <cell r="A284">
            <v>1995</v>
          </cell>
          <cell r="B284">
            <v>34925</v>
          </cell>
          <cell r="C284" t="str">
            <v>加拿大</v>
          </cell>
          <cell r="D284" t="str">
            <v>乳制品</v>
          </cell>
          <cell r="E284">
            <v>193.5</v>
          </cell>
        </row>
        <row r="285">
          <cell r="A285">
            <v>1995</v>
          </cell>
          <cell r="B285">
            <v>34927</v>
          </cell>
          <cell r="C285" t="str">
            <v>加拿大</v>
          </cell>
          <cell r="D285" t="str">
            <v>肉/家禽</v>
          </cell>
          <cell r="E285">
            <v>29.8</v>
          </cell>
        </row>
        <row r="286">
          <cell r="A286">
            <v>1995</v>
          </cell>
          <cell r="B286">
            <v>34927</v>
          </cell>
          <cell r="C286" t="str">
            <v>加拿大</v>
          </cell>
          <cell r="D286" t="str">
            <v>海洋食品</v>
          </cell>
          <cell r="E286">
            <v>450</v>
          </cell>
        </row>
        <row r="287">
          <cell r="A287">
            <v>1995</v>
          </cell>
          <cell r="B287">
            <v>34929</v>
          </cell>
          <cell r="C287" t="str">
            <v>加拿大</v>
          </cell>
          <cell r="D287" t="str">
            <v>面食/谷类</v>
          </cell>
          <cell r="E287">
            <v>1008</v>
          </cell>
        </row>
        <row r="288">
          <cell r="A288">
            <v>1995</v>
          </cell>
          <cell r="B288">
            <v>34929</v>
          </cell>
          <cell r="C288" t="str">
            <v>加拿大</v>
          </cell>
          <cell r="D288" t="str">
            <v>糖果</v>
          </cell>
          <cell r="E288">
            <v>474.99999962747097</v>
          </cell>
        </row>
        <row r="289">
          <cell r="A289">
            <v>1995</v>
          </cell>
          <cell r="B289">
            <v>34933</v>
          </cell>
          <cell r="C289" t="str">
            <v>加拿大</v>
          </cell>
          <cell r="D289" t="str">
            <v>农产品</v>
          </cell>
          <cell r="E289">
            <v>1350</v>
          </cell>
        </row>
        <row r="290">
          <cell r="A290">
            <v>1995</v>
          </cell>
          <cell r="B290">
            <v>34933</v>
          </cell>
          <cell r="C290" t="str">
            <v>加拿大</v>
          </cell>
          <cell r="D290" t="str">
            <v>肉/家禽</v>
          </cell>
          <cell r="E290">
            <v>3900</v>
          </cell>
        </row>
        <row r="291">
          <cell r="A291">
            <v>1995</v>
          </cell>
          <cell r="B291">
            <v>34933</v>
          </cell>
          <cell r="C291" t="str">
            <v>加拿大</v>
          </cell>
          <cell r="D291" t="str">
            <v>乳制品</v>
          </cell>
          <cell r="E291">
            <v>35</v>
          </cell>
        </row>
        <row r="292">
          <cell r="A292">
            <v>1995</v>
          </cell>
          <cell r="B292">
            <v>34933</v>
          </cell>
          <cell r="C292" t="str">
            <v>加拿大</v>
          </cell>
          <cell r="D292" t="str">
            <v>海洋食品</v>
          </cell>
          <cell r="E292">
            <v>772.8</v>
          </cell>
        </row>
        <row r="293">
          <cell r="A293">
            <v>1995</v>
          </cell>
          <cell r="B293">
            <v>34933</v>
          </cell>
          <cell r="C293" t="str">
            <v>加拿大</v>
          </cell>
          <cell r="D293" t="str">
            <v>乳制品</v>
          </cell>
          <cell r="E293">
            <v>417.6</v>
          </cell>
        </row>
        <row r="294">
          <cell r="A294">
            <v>1995</v>
          </cell>
          <cell r="B294">
            <v>34934</v>
          </cell>
          <cell r="C294" t="str">
            <v>美国</v>
          </cell>
          <cell r="D294" t="str">
            <v>面食/谷类</v>
          </cell>
          <cell r="E294">
            <v>1064</v>
          </cell>
        </row>
        <row r="295">
          <cell r="A295">
            <v>1995</v>
          </cell>
          <cell r="B295">
            <v>34939</v>
          </cell>
          <cell r="C295" t="str">
            <v>加拿大</v>
          </cell>
          <cell r="D295" t="str">
            <v>海洋食品</v>
          </cell>
          <cell r="E295">
            <v>2170</v>
          </cell>
        </row>
        <row r="296">
          <cell r="A296">
            <v>1995</v>
          </cell>
          <cell r="B296">
            <v>34939</v>
          </cell>
          <cell r="C296" t="str">
            <v>加拿大</v>
          </cell>
          <cell r="D296" t="str">
            <v>海洋食品</v>
          </cell>
          <cell r="E296">
            <v>1045</v>
          </cell>
        </row>
        <row r="297">
          <cell r="A297">
            <v>1995</v>
          </cell>
          <cell r="B297">
            <v>34939</v>
          </cell>
          <cell r="C297" t="str">
            <v>加拿大</v>
          </cell>
          <cell r="D297" t="str">
            <v>糖果</v>
          </cell>
          <cell r="E297">
            <v>360</v>
          </cell>
        </row>
        <row r="298">
          <cell r="A298">
            <v>1995</v>
          </cell>
          <cell r="B298">
            <v>34939</v>
          </cell>
          <cell r="C298" t="str">
            <v>加拿大</v>
          </cell>
          <cell r="D298" t="str">
            <v>乳制品</v>
          </cell>
          <cell r="E298">
            <v>1360</v>
          </cell>
        </row>
        <row r="299">
          <cell r="A299">
            <v>1995</v>
          </cell>
          <cell r="B299">
            <v>34939</v>
          </cell>
          <cell r="C299" t="str">
            <v>加拿大</v>
          </cell>
          <cell r="D299" t="str">
            <v>饮料</v>
          </cell>
          <cell r="E299">
            <v>1440</v>
          </cell>
        </row>
        <row r="300">
          <cell r="A300">
            <v>1995</v>
          </cell>
          <cell r="B300">
            <v>34940</v>
          </cell>
          <cell r="C300" t="str">
            <v>美国</v>
          </cell>
          <cell r="D300" t="str">
            <v>乳制品</v>
          </cell>
          <cell r="E300">
            <v>294</v>
          </cell>
        </row>
        <row r="301">
          <cell r="A301">
            <v>1995</v>
          </cell>
          <cell r="B301">
            <v>34940</v>
          </cell>
          <cell r="C301" t="str">
            <v>美国</v>
          </cell>
          <cell r="D301" t="str">
            <v>糖果</v>
          </cell>
          <cell r="E301">
            <v>80</v>
          </cell>
        </row>
        <row r="302">
          <cell r="A302">
            <v>1995</v>
          </cell>
          <cell r="B302">
            <v>34940</v>
          </cell>
          <cell r="C302" t="str">
            <v>美国</v>
          </cell>
          <cell r="D302" t="str">
            <v>饮料</v>
          </cell>
          <cell r="E302">
            <v>90</v>
          </cell>
        </row>
        <row r="303">
          <cell r="A303">
            <v>1995</v>
          </cell>
          <cell r="B303">
            <v>34942</v>
          </cell>
          <cell r="C303" t="str">
            <v>加拿大</v>
          </cell>
          <cell r="D303" t="str">
            <v>饮料</v>
          </cell>
          <cell r="E303">
            <v>3754.874997055158</v>
          </cell>
        </row>
        <row r="304">
          <cell r="A304">
            <v>1995</v>
          </cell>
          <cell r="B304">
            <v>34942</v>
          </cell>
          <cell r="C304" t="str">
            <v>加拿大</v>
          </cell>
          <cell r="D304" t="str">
            <v>面食/谷类</v>
          </cell>
          <cell r="E304">
            <v>532</v>
          </cell>
        </row>
        <row r="305">
          <cell r="A305">
            <v>1995</v>
          </cell>
          <cell r="B305">
            <v>34942</v>
          </cell>
          <cell r="C305" t="str">
            <v>加拿大</v>
          </cell>
          <cell r="D305" t="str">
            <v>饮料</v>
          </cell>
          <cell r="E305">
            <v>213.74999983236194</v>
          </cell>
        </row>
        <row r="306">
          <cell r="A306">
            <v>1995</v>
          </cell>
          <cell r="B306">
            <v>34942</v>
          </cell>
          <cell r="C306" t="str">
            <v>加拿大</v>
          </cell>
          <cell r="D306" t="str">
            <v>乳制品</v>
          </cell>
          <cell r="E306">
            <v>306.37499975971878</v>
          </cell>
        </row>
        <row r="307">
          <cell r="A307">
            <v>1995</v>
          </cell>
          <cell r="B307">
            <v>34942</v>
          </cell>
          <cell r="C307" t="str">
            <v>加拿大</v>
          </cell>
          <cell r="D307" t="str">
            <v>乳制品</v>
          </cell>
          <cell r="E307">
            <v>1402.4999901652336</v>
          </cell>
        </row>
        <row r="308">
          <cell r="A308">
            <v>1995</v>
          </cell>
          <cell r="B308">
            <v>34949</v>
          </cell>
          <cell r="C308" t="str">
            <v>美国</v>
          </cell>
          <cell r="D308" t="str">
            <v>农产品</v>
          </cell>
          <cell r="E308">
            <v>488.25</v>
          </cell>
        </row>
        <row r="309">
          <cell r="A309">
            <v>1995</v>
          </cell>
          <cell r="B309">
            <v>34949</v>
          </cell>
          <cell r="C309" t="str">
            <v>美国</v>
          </cell>
          <cell r="D309" t="str">
            <v>糖果</v>
          </cell>
          <cell r="E309">
            <v>124.19999979436398</v>
          </cell>
        </row>
        <row r="310">
          <cell r="A310">
            <v>1995</v>
          </cell>
          <cell r="B310">
            <v>34949</v>
          </cell>
          <cell r="C310" t="str">
            <v>美国</v>
          </cell>
          <cell r="D310" t="str">
            <v>糖果</v>
          </cell>
          <cell r="E310">
            <v>224.99999962747097</v>
          </cell>
        </row>
        <row r="311">
          <cell r="A311">
            <v>1995</v>
          </cell>
          <cell r="B311">
            <v>34949</v>
          </cell>
          <cell r="C311" t="str">
            <v>美国</v>
          </cell>
          <cell r="D311" t="str">
            <v>饮料</v>
          </cell>
          <cell r="E311">
            <v>13.5</v>
          </cell>
        </row>
        <row r="312">
          <cell r="A312">
            <v>1995</v>
          </cell>
          <cell r="B312">
            <v>34949</v>
          </cell>
          <cell r="C312" t="str">
            <v>美国</v>
          </cell>
          <cell r="D312" t="str">
            <v>饮料</v>
          </cell>
          <cell r="E312">
            <v>485.9999991953373</v>
          </cell>
        </row>
        <row r="313">
          <cell r="A313">
            <v>1995</v>
          </cell>
          <cell r="B313">
            <v>34949</v>
          </cell>
          <cell r="C313" t="str">
            <v>加拿大</v>
          </cell>
          <cell r="D313" t="str">
            <v>农产品</v>
          </cell>
          <cell r="E313">
            <v>456</v>
          </cell>
        </row>
        <row r="314">
          <cell r="A314">
            <v>1995</v>
          </cell>
          <cell r="B314">
            <v>34949</v>
          </cell>
          <cell r="C314" t="str">
            <v>加拿大</v>
          </cell>
          <cell r="D314" t="str">
            <v>肉/家禽</v>
          </cell>
          <cell r="E314">
            <v>742.74</v>
          </cell>
        </row>
        <row r="315">
          <cell r="A315">
            <v>1995</v>
          </cell>
          <cell r="B315">
            <v>34949</v>
          </cell>
          <cell r="C315" t="str">
            <v>加拿大</v>
          </cell>
          <cell r="D315" t="str">
            <v>香料</v>
          </cell>
          <cell r="E315">
            <v>194.5</v>
          </cell>
        </row>
        <row r="316">
          <cell r="A316">
            <v>1995</v>
          </cell>
          <cell r="B316">
            <v>34953</v>
          </cell>
          <cell r="C316" t="str">
            <v>加拿大</v>
          </cell>
          <cell r="D316" t="str">
            <v>糖果</v>
          </cell>
          <cell r="E316">
            <v>739.5</v>
          </cell>
        </row>
        <row r="317">
          <cell r="A317">
            <v>1995</v>
          </cell>
          <cell r="B317">
            <v>34953</v>
          </cell>
          <cell r="C317" t="str">
            <v>加拿大</v>
          </cell>
          <cell r="D317" t="str">
            <v>海洋食品</v>
          </cell>
          <cell r="E317">
            <v>446.24999687075615</v>
          </cell>
        </row>
        <row r="318">
          <cell r="A318">
            <v>1995</v>
          </cell>
          <cell r="B318">
            <v>34955</v>
          </cell>
          <cell r="C318" t="str">
            <v>美国</v>
          </cell>
          <cell r="D318" t="str">
            <v>肉/家禽</v>
          </cell>
          <cell r="E318">
            <v>273.59999978542328</v>
          </cell>
        </row>
        <row r="319">
          <cell r="A319">
            <v>1995</v>
          </cell>
          <cell r="B319">
            <v>34955</v>
          </cell>
          <cell r="C319" t="str">
            <v>美国</v>
          </cell>
          <cell r="D319" t="str">
            <v>饮料</v>
          </cell>
          <cell r="E319">
            <v>630</v>
          </cell>
        </row>
        <row r="320">
          <cell r="A320">
            <v>1995</v>
          </cell>
          <cell r="B320">
            <v>34956</v>
          </cell>
          <cell r="C320" t="str">
            <v>美国</v>
          </cell>
          <cell r="D320" t="str">
            <v>饮料</v>
          </cell>
          <cell r="E320">
            <v>541.49999957531691</v>
          </cell>
        </row>
        <row r="321">
          <cell r="A321">
            <v>1995</v>
          </cell>
          <cell r="B321">
            <v>34956</v>
          </cell>
          <cell r="C321" t="str">
            <v>美国</v>
          </cell>
          <cell r="D321" t="str">
            <v>乳制品</v>
          </cell>
          <cell r="E321">
            <v>47.499999962747097</v>
          </cell>
        </row>
        <row r="322">
          <cell r="A322">
            <v>1995</v>
          </cell>
          <cell r="B322">
            <v>34963</v>
          </cell>
          <cell r="C322" t="str">
            <v>美国</v>
          </cell>
          <cell r="D322" t="str">
            <v>乳制品</v>
          </cell>
          <cell r="E322">
            <v>540</v>
          </cell>
        </row>
        <row r="323">
          <cell r="A323">
            <v>1995</v>
          </cell>
          <cell r="B323">
            <v>34963</v>
          </cell>
          <cell r="C323" t="str">
            <v>美国</v>
          </cell>
          <cell r="D323" t="str">
            <v>饮料</v>
          </cell>
          <cell r="E323">
            <v>168.75</v>
          </cell>
        </row>
        <row r="324">
          <cell r="A324">
            <v>1995</v>
          </cell>
          <cell r="B324">
            <v>34974</v>
          </cell>
          <cell r="C324" t="str">
            <v>美国</v>
          </cell>
          <cell r="D324" t="str">
            <v>糖果</v>
          </cell>
          <cell r="E324">
            <v>82.8</v>
          </cell>
        </row>
        <row r="325">
          <cell r="A325">
            <v>1995</v>
          </cell>
          <cell r="B325">
            <v>34974</v>
          </cell>
          <cell r="C325" t="str">
            <v>美国</v>
          </cell>
          <cell r="D325" t="str">
            <v>面食/谷类</v>
          </cell>
          <cell r="E325">
            <v>315</v>
          </cell>
        </row>
        <row r="326">
          <cell r="A326">
            <v>1995</v>
          </cell>
          <cell r="B326">
            <v>34975</v>
          </cell>
          <cell r="C326" t="str">
            <v>美国</v>
          </cell>
          <cell r="D326" t="str">
            <v>糖果</v>
          </cell>
          <cell r="E326">
            <v>471.14999921992421</v>
          </cell>
        </row>
        <row r="327">
          <cell r="A327">
            <v>1995</v>
          </cell>
          <cell r="B327">
            <v>34975</v>
          </cell>
          <cell r="C327" t="str">
            <v>美国</v>
          </cell>
          <cell r="D327" t="str">
            <v>乳制品</v>
          </cell>
          <cell r="E327">
            <v>611.99999898672104</v>
          </cell>
        </row>
        <row r="328">
          <cell r="A328">
            <v>1995</v>
          </cell>
          <cell r="B328">
            <v>34977</v>
          </cell>
          <cell r="C328" t="str">
            <v>加拿大</v>
          </cell>
          <cell r="D328" t="str">
            <v>农产品</v>
          </cell>
          <cell r="E328">
            <v>62.774999896064401</v>
          </cell>
        </row>
        <row r="329">
          <cell r="A329">
            <v>1995</v>
          </cell>
          <cell r="B329">
            <v>34977</v>
          </cell>
          <cell r="C329" t="str">
            <v>加拿大</v>
          </cell>
          <cell r="D329" t="str">
            <v>香料</v>
          </cell>
          <cell r="E329">
            <v>490.13999918848276</v>
          </cell>
        </row>
        <row r="330">
          <cell r="A330">
            <v>1995</v>
          </cell>
          <cell r="B330">
            <v>34977</v>
          </cell>
          <cell r="C330" t="str">
            <v>加拿大</v>
          </cell>
          <cell r="D330" t="str">
            <v>糖果</v>
          </cell>
          <cell r="E330">
            <v>51.299999915063381</v>
          </cell>
        </row>
        <row r="331">
          <cell r="A331">
            <v>1995</v>
          </cell>
          <cell r="B331">
            <v>34977</v>
          </cell>
          <cell r="C331" t="str">
            <v>加拿大</v>
          </cell>
          <cell r="D331" t="str">
            <v>香料</v>
          </cell>
          <cell r="E331">
            <v>775</v>
          </cell>
        </row>
        <row r="332">
          <cell r="A332">
            <v>1995</v>
          </cell>
          <cell r="B332">
            <v>34977</v>
          </cell>
          <cell r="C332" t="str">
            <v>加拿大</v>
          </cell>
          <cell r="D332" t="str">
            <v>海洋食品</v>
          </cell>
          <cell r="E332">
            <v>231.6</v>
          </cell>
        </row>
        <row r="333">
          <cell r="A333">
            <v>1995</v>
          </cell>
          <cell r="B333">
            <v>34977</v>
          </cell>
          <cell r="C333" t="str">
            <v>加拿大</v>
          </cell>
          <cell r="D333" t="str">
            <v>海洋食品</v>
          </cell>
          <cell r="E333">
            <v>540</v>
          </cell>
        </row>
        <row r="334">
          <cell r="A334">
            <v>1995</v>
          </cell>
          <cell r="B334">
            <v>34977</v>
          </cell>
          <cell r="C334" t="str">
            <v>加拿大</v>
          </cell>
          <cell r="D334" t="str">
            <v>糖果</v>
          </cell>
          <cell r="E334">
            <v>95</v>
          </cell>
        </row>
        <row r="335">
          <cell r="A335">
            <v>1995</v>
          </cell>
          <cell r="B335">
            <v>34977</v>
          </cell>
          <cell r="C335" t="str">
            <v>加拿大</v>
          </cell>
          <cell r="D335" t="str">
            <v>面食/谷类</v>
          </cell>
          <cell r="E335">
            <v>1710</v>
          </cell>
        </row>
        <row r="336">
          <cell r="A336">
            <v>1995</v>
          </cell>
          <cell r="B336">
            <v>34977</v>
          </cell>
          <cell r="C336" t="str">
            <v>加拿大</v>
          </cell>
          <cell r="D336" t="str">
            <v>乳制品</v>
          </cell>
          <cell r="E336">
            <v>1020</v>
          </cell>
        </row>
        <row r="337">
          <cell r="A337">
            <v>1995</v>
          </cell>
          <cell r="B337">
            <v>34978</v>
          </cell>
          <cell r="C337" t="str">
            <v>美国</v>
          </cell>
          <cell r="D337" t="str">
            <v>糖果</v>
          </cell>
          <cell r="E337">
            <v>600</v>
          </cell>
        </row>
        <row r="338">
          <cell r="A338">
            <v>1995</v>
          </cell>
          <cell r="B338">
            <v>34978</v>
          </cell>
          <cell r="C338" t="str">
            <v>美国</v>
          </cell>
          <cell r="D338" t="str">
            <v>海洋食品</v>
          </cell>
          <cell r="E338">
            <v>1223.5999990403652</v>
          </cell>
        </row>
        <row r="339">
          <cell r="A339">
            <v>1995</v>
          </cell>
          <cell r="B339">
            <v>34978</v>
          </cell>
          <cell r="C339" t="str">
            <v>美国</v>
          </cell>
          <cell r="D339" t="str">
            <v>乳制品</v>
          </cell>
          <cell r="E339">
            <v>1776.4999986067414</v>
          </cell>
        </row>
        <row r="340">
          <cell r="A340">
            <v>1995</v>
          </cell>
          <cell r="B340">
            <v>34978</v>
          </cell>
          <cell r="C340" t="str">
            <v>美国</v>
          </cell>
          <cell r="D340" t="str">
            <v>香料</v>
          </cell>
          <cell r="E340">
            <v>864.49999932199717</v>
          </cell>
        </row>
        <row r="341">
          <cell r="A341">
            <v>1995</v>
          </cell>
          <cell r="B341">
            <v>34981</v>
          </cell>
          <cell r="C341" t="str">
            <v>加拿大</v>
          </cell>
          <cell r="D341" t="str">
            <v>糖果</v>
          </cell>
          <cell r="E341">
            <v>1701</v>
          </cell>
        </row>
        <row r="342">
          <cell r="A342">
            <v>1995</v>
          </cell>
          <cell r="B342">
            <v>34982</v>
          </cell>
          <cell r="C342" t="str">
            <v>加拿大</v>
          </cell>
          <cell r="D342" t="str">
            <v>糖果</v>
          </cell>
          <cell r="E342">
            <v>125</v>
          </cell>
        </row>
        <row r="343">
          <cell r="A343">
            <v>1995</v>
          </cell>
          <cell r="B343">
            <v>34984</v>
          </cell>
          <cell r="C343" t="str">
            <v>加拿大</v>
          </cell>
          <cell r="D343" t="str">
            <v>农产品</v>
          </cell>
          <cell r="E343">
            <v>1060</v>
          </cell>
        </row>
        <row r="344">
          <cell r="A344">
            <v>1995</v>
          </cell>
          <cell r="B344">
            <v>34984</v>
          </cell>
          <cell r="C344" t="str">
            <v>加拿大</v>
          </cell>
          <cell r="D344" t="str">
            <v>乳制品</v>
          </cell>
          <cell r="E344">
            <v>55</v>
          </cell>
        </row>
        <row r="345">
          <cell r="A345">
            <v>1995</v>
          </cell>
          <cell r="B345">
            <v>34984</v>
          </cell>
          <cell r="C345" t="str">
            <v>加拿大</v>
          </cell>
          <cell r="D345" t="str">
            <v>饮料</v>
          </cell>
          <cell r="E345">
            <v>180</v>
          </cell>
        </row>
        <row r="346">
          <cell r="A346">
            <v>1995</v>
          </cell>
          <cell r="B346">
            <v>34988</v>
          </cell>
          <cell r="C346" t="str">
            <v>美国</v>
          </cell>
          <cell r="D346" t="str">
            <v>乳制品</v>
          </cell>
          <cell r="E346">
            <v>89.999999850988388</v>
          </cell>
        </row>
        <row r="347">
          <cell r="A347">
            <v>1995</v>
          </cell>
          <cell r="B347">
            <v>34988</v>
          </cell>
          <cell r="C347" t="str">
            <v>美国</v>
          </cell>
          <cell r="D347" t="str">
            <v>肉/家禽</v>
          </cell>
          <cell r="E347">
            <v>86.399999856948853</v>
          </cell>
        </row>
        <row r="348">
          <cell r="A348">
            <v>1995</v>
          </cell>
          <cell r="B348">
            <v>34988</v>
          </cell>
          <cell r="C348" t="str">
            <v>美国</v>
          </cell>
          <cell r="D348" t="str">
            <v>面食/谷类</v>
          </cell>
          <cell r="E348">
            <v>448.87499925680459</v>
          </cell>
        </row>
        <row r="349">
          <cell r="A349">
            <v>1995</v>
          </cell>
          <cell r="B349">
            <v>34989</v>
          </cell>
          <cell r="C349" t="str">
            <v>美国</v>
          </cell>
          <cell r="D349" t="str">
            <v>面食/谷类</v>
          </cell>
          <cell r="E349">
            <v>288</v>
          </cell>
        </row>
        <row r="350">
          <cell r="A350">
            <v>1995</v>
          </cell>
          <cell r="B350">
            <v>34989</v>
          </cell>
          <cell r="C350" t="str">
            <v>美国</v>
          </cell>
          <cell r="D350" t="str">
            <v>海洋食品</v>
          </cell>
          <cell r="E350">
            <v>720</v>
          </cell>
        </row>
        <row r="351">
          <cell r="A351">
            <v>1995</v>
          </cell>
          <cell r="B351">
            <v>34989</v>
          </cell>
          <cell r="C351" t="str">
            <v>美国</v>
          </cell>
          <cell r="D351" t="str">
            <v>饮料</v>
          </cell>
          <cell r="E351">
            <v>350</v>
          </cell>
        </row>
        <row r="352">
          <cell r="A352">
            <v>1995</v>
          </cell>
          <cell r="B352">
            <v>34989</v>
          </cell>
          <cell r="C352" t="str">
            <v>美国</v>
          </cell>
          <cell r="D352" t="str">
            <v>海洋食品</v>
          </cell>
          <cell r="E352">
            <v>750</v>
          </cell>
        </row>
        <row r="353">
          <cell r="A353">
            <v>1995</v>
          </cell>
          <cell r="B353">
            <v>34989</v>
          </cell>
          <cell r="C353" t="str">
            <v>美国</v>
          </cell>
          <cell r="D353" t="str">
            <v>饮料</v>
          </cell>
          <cell r="E353">
            <v>193.75</v>
          </cell>
        </row>
        <row r="354">
          <cell r="A354">
            <v>1995</v>
          </cell>
          <cell r="B354">
            <v>34992</v>
          </cell>
          <cell r="C354" t="str">
            <v>美国</v>
          </cell>
          <cell r="D354" t="str">
            <v>农产品</v>
          </cell>
          <cell r="E354">
            <v>697.5</v>
          </cell>
        </row>
        <row r="355">
          <cell r="A355">
            <v>1995</v>
          </cell>
          <cell r="B355">
            <v>34992</v>
          </cell>
          <cell r="C355" t="str">
            <v>美国</v>
          </cell>
          <cell r="D355" t="str">
            <v>肉/家禽</v>
          </cell>
          <cell r="E355">
            <v>328</v>
          </cell>
        </row>
        <row r="356">
          <cell r="A356">
            <v>1995</v>
          </cell>
          <cell r="B356">
            <v>34992</v>
          </cell>
          <cell r="C356" t="str">
            <v>美国</v>
          </cell>
          <cell r="D356" t="str">
            <v>海洋食品</v>
          </cell>
          <cell r="E356">
            <v>397.5</v>
          </cell>
        </row>
        <row r="357">
          <cell r="A357">
            <v>1995</v>
          </cell>
          <cell r="B357">
            <v>34996</v>
          </cell>
          <cell r="C357" t="str">
            <v>加拿大</v>
          </cell>
          <cell r="D357" t="str">
            <v>乳制品</v>
          </cell>
          <cell r="E357">
            <v>3800</v>
          </cell>
        </row>
        <row r="358">
          <cell r="A358">
            <v>1995</v>
          </cell>
          <cell r="B358">
            <v>34996</v>
          </cell>
          <cell r="C358" t="str">
            <v>加拿大</v>
          </cell>
          <cell r="D358" t="str">
            <v>乳制品</v>
          </cell>
          <cell r="E358">
            <v>75</v>
          </cell>
        </row>
        <row r="359">
          <cell r="A359">
            <v>1995</v>
          </cell>
          <cell r="B359">
            <v>34996</v>
          </cell>
          <cell r="C359" t="str">
            <v>加拿大</v>
          </cell>
          <cell r="D359" t="str">
            <v>海洋食品</v>
          </cell>
          <cell r="E359">
            <v>1158</v>
          </cell>
        </row>
        <row r="360">
          <cell r="A360">
            <v>1995</v>
          </cell>
          <cell r="B360">
            <v>34996</v>
          </cell>
          <cell r="C360" t="str">
            <v>加拿大</v>
          </cell>
          <cell r="D360" t="str">
            <v>肉/家禽</v>
          </cell>
          <cell r="E360">
            <v>223.5</v>
          </cell>
        </row>
        <row r="361">
          <cell r="A361">
            <v>1995</v>
          </cell>
          <cell r="B361">
            <v>34997</v>
          </cell>
          <cell r="C361" t="str">
            <v>加拿大</v>
          </cell>
          <cell r="D361" t="str">
            <v>糖果</v>
          </cell>
          <cell r="E361">
            <v>654.375</v>
          </cell>
        </row>
        <row r="362">
          <cell r="A362">
            <v>1995</v>
          </cell>
          <cell r="B362">
            <v>34997</v>
          </cell>
          <cell r="C362" t="str">
            <v>加拿大</v>
          </cell>
          <cell r="D362" t="str">
            <v>乳制品</v>
          </cell>
          <cell r="E362">
            <v>187.5</v>
          </cell>
        </row>
        <row r="363">
          <cell r="A363">
            <v>1995</v>
          </cell>
          <cell r="B363">
            <v>34997</v>
          </cell>
          <cell r="C363" t="str">
            <v>加拿大</v>
          </cell>
          <cell r="D363" t="str">
            <v>面食/谷类</v>
          </cell>
          <cell r="E363">
            <v>420</v>
          </cell>
        </row>
        <row r="364">
          <cell r="A364">
            <v>1995</v>
          </cell>
          <cell r="B364">
            <v>34998</v>
          </cell>
          <cell r="C364" t="str">
            <v>加拿大</v>
          </cell>
          <cell r="D364" t="str">
            <v>糖果</v>
          </cell>
          <cell r="E364">
            <v>248.39999958872795</v>
          </cell>
        </row>
        <row r="365">
          <cell r="A365">
            <v>1995</v>
          </cell>
          <cell r="B365">
            <v>34998</v>
          </cell>
          <cell r="C365" t="str">
            <v>加拿大</v>
          </cell>
          <cell r="D365" t="str">
            <v>糖果</v>
          </cell>
          <cell r="E365">
            <v>107.99999982118607</v>
          </cell>
        </row>
        <row r="366">
          <cell r="A366">
            <v>1995</v>
          </cell>
          <cell r="B366">
            <v>34998</v>
          </cell>
          <cell r="C366" t="str">
            <v>加拿大</v>
          </cell>
          <cell r="D366" t="str">
            <v>面食/谷类</v>
          </cell>
          <cell r="E366">
            <v>931</v>
          </cell>
        </row>
        <row r="367">
          <cell r="A367">
            <v>1995</v>
          </cell>
          <cell r="B367">
            <v>34999</v>
          </cell>
          <cell r="C367" t="str">
            <v>美国</v>
          </cell>
          <cell r="D367" t="str">
            <v>海洋食品</v>
          </cell>
          <cell r="E367">
            <v>368</v>
          </cell>
        </row>
        <row r="368">
          <cell r="A368">
            <v>1995</v>
          </cell>
          <cell r="B368">
            <v>34999</v>
          </cell>
          <cell r="C368" t="str">
            <v>美国</v>
          </cell>
          <cell r="D368" t="str">
            <v>糖果</v>
          </cell>
          <cell r="E368">
            <v>380</v>
          </cell>
        </row>
        <row r="369">
          <cell r="A369">
            <v>1995</v>
          </cell>
          <cell r="B369">
            <v>34999</v>
          </cell>
          <cell r="C369" t="str">
            <v>美国</v>
          </cell>
          <cell r="D369" t="str">
            <v>乳制品</v>
          </cell>
          <cell r="E369">
            <v>1020</v>
          </cell>
        </row>
        <row r="370">
          <cell r="A370">
            <v>1995</v>
          </cell>
          <cell r="B370">
            <v>35006</v>
          </cell>
          <cell r="C370" t="str">
            <v>美国</v>
          </cell>
          <cell r="D370" t="str">
            <v>饮料</v>
          </cell>
          <cell r="E370">
            <v>540</v>
          </cell>
        </row>
        <row r="371">
          <cell r="A371">
            <v>1995</v>
          </cell>
          <cell r="B371">
            <v>35006</v>
          </cell>
          <cell r="C371" t="str">
            <v>美国</v>
          </cell>
          <cell r="D371" t="str">
            <v>肉/家禽</v>
          </cell>
          <cell r="E371">
            <v>4951.6000000000004</v>
          </cell>
        </row>
        <row r="372">
          <cell r="A372">
            <v>1995</v>
          </cell>
          <cell r="B372">
            <v>35006</v>
          </cell>
          <cell r="C372" t="str">
            <v>美国</v>
          </cell>
          <cell r="D372" t="str">
            <v>饮料</v>
          </cell>
          <cell r="E372">
            <v>1840</v>
          </cell>
        </row>
        <row r="373">
          <cell r="A373">
            <v>1995</v>
          </cell>
          <cell r="B373">
            <v>35006</v>
          </cell>
          <cell r="C373" t="str">
            <v>美国</v>
          </cell>
          <cell r="D373" t="str">
            <v>香料</v>
          </cell>
          <cell r="E373">
            <v>466.8</v>
          </cell>
        </row>
        <row r="374">
          <cell r="A374">
            <v>1995</v>
          </cell>
          <cell r="B374">
            <v>35006</v>
          </cell>
          <cell r="C374" t="str">
            <v>美国</v>
          </cell>
          <cell r="D374" t="str">
            <v>糖果</v>
          </cell>
          <cell r="E374">
            <v>2366.4</v>
          </cell>
        </row>
        <row r="375">
          <cell r="A375">
            <v>1995</v>
          </cell>
          <cell r="B375">
            <v>35009</v>
          </cell>
          <cell r="C375" t="str">
            <v>加拿大</v>
          </cell>
          <cell r="D375" t="str">
            <v>肉/家禽</v>
          </cell>
          <cell r="E375">
            <v>582</v>
          </cell>
        </row>
        <row r="376">
          <cell r="A376">
            <v>1995</v>
          </cell>
          <cell r="B376">
            <v>35009</v>
          </cell>
          <cell r="C376" t="str">
            <v>加拿大</v>
          </cell>
          <cell r="D376" t="str">
            <v>肉/家禽</v>
          </cell>
          <cell r="E376">
            <v>379.94999733567238</v>
          </cell>
        </row>
        <row r="377">
          <cell r="A377">
            <v>1995</v>
          </cell>
          <cell r="B377">
            <v>35009</v>
          </cell>
          <cell r="C377" t="str">
            <v>加拿大</v>
          </cell>
          <cell r="D377" t="str">
            <v>乳制品</v>
          </cell>
          <cell r="E377">
            <v>917.99999356269836</v>
          </cell>
        </row>
        <row r="378">
          <cell r="A378">
            <v>1995</v>
          </cell>
          <cell r="B378">
            <v>35009</v>
          </cell>
          <cell r="C378" t="str">
            <v>加拿大</v>
          </cell>
          <cell r="D378" t="str">
            <v>海洋食品</v>
          </cell>
          <cell r="E378">
            <v>191.24999865889549</v>
          </cell>
        </row>
        <row r="379">
          <cell r="A379">
            <v>1995</v>
          </cell>
          <cell r="B379">
            <v>35009</v>
          </cell>
          <cell r="C379" t="str">
            <v>美国</v>
          </cell>
          <cell r="D379" t="str">
            <v>农产品</v>
          </cell>
          <cell r="E379">
            <v>2700</v>
          </cell>
        </row>
        <row r="380">
          <cell r="A380">
            <v>1995</v>
          </cell>
          <cell r="B380">
            <v>35009</v>
          </cell>
          <cell r="C380" t="str">
            <v>美国</v>
          </cell>
          <cell r="D380" t="str">
            <v>乳制品</v>
          </cell>
          <cell r="E380">
            <v>1375</v>
          </cell>
        </row>
        <row r="381">
          <cell r="A381">
            <v>1995</v>
          </cell>
          <cell r="B381">
            <v>35009</v>
          </cell>
          <cell r="C381" t="str">
            <v>美国</v>
          </cell>
          <cell r="D381" t="str">
            <v>饮料</v>
          </cell>
          <cell r="E381">
            <v>750</v>
          </cell>
        </row>
        <row r="382">
          <cell r="A382">
            <v>1995</v>
          </cell>
          <cell r="B382">
            <v>35011</v>
          </cell>
          <cell r="C382" t="str">
            <v>加拿大</v>
          </cell>
          <cell r="D382" t="str">
            <v>肉/家禽</v>
          </cell>
          <cell r="E382">
            <v>780</v>
          </cell>
        </row>
        <row r="383">
          <cell r="A383">
            <v>1995</v>
          </cell>
          <cell r="B383">
            <v>35011</v>
          </cell>
          <cell r="C383" t="str">
            <v>加拿大</v>
          </cell>
          <cell r="D383" t="str">
            <v>海洋食品</v>
          </cell>
          <cell r="E383">
            <v>216</v>
          </cell>
        </row>
        <row r="384">
          <cell r="A384">
            <v>1995</v>
          </cell>
          <cell r="B384">
            <v>35012</v>
          </cell>
          <cell r="C384" t="str">
            <v>美国</v>
          </cell>
          <cell r="D384" t="str">
            <v>糖果</v>
          </cell>
          <cell r="E384">
            <v>114</v>
          </cell>
        </row>
        <row r="385">
          <cell r="A385">
            <v>1995</v>
          </cell>
          <cell r="B385">
            <v>35013</v>
          </cell>
          <cell r="C385" t="str">
            <v>加拿大</v>
          </cell>
          <cell r="D385" t="str">
            <v>饮料</v>
          </cell>
          <cell r="E385">
            <v>71.999999731779099</v>
          </cell>
        </row>
        <row r="386">
          <cell r="A386">
            <v>1995</v>
          </cell>
          <cell r="B386">
            <v>35013</v>
          </cell>
          <cell r="C386" t="str">
            <v>加拿大</v>
          </cell>
          <cell r="D386" t="str">
            <v>饮料</v>
          </cell>
          <cell r="E386">
            <v>134.39999949932098</v>
          </cell>
        </row>
        <row r="387">
          <cell r="A387">
            <v>1995</v>
          </cell>
          <cell r="B387">
            <v>35013</v>
          </cell>
          <cell r="C387" t="str">
            <v>加拿大</v>
          </cell>
          <cell r="D387" t="str">
            <v>糖果</v>
          </cell>
          <cell r="E387">
            <v>399.99999850988388</v>
          </cell>
        </row>
        <row r="388">
          <cell r="A388">
            <v>1995</v>
          </cell>
          <cell r="B388">
            <v>35013</v>
          </cell>
          <cell r="C388" t="str">
            <v>加拿大</v>
          </cell>
          <cell r="D388" t="str">
            <v>乳制品</v>
          </cell>
          <cell r="E388">
            <v>1031.9999961555004</v>
          </cell>
        </row>
        <row r="389">
          <cell r="A389">
            <v>1995</v>
          </cell>
          <cell r="B389">
            <v>35019</v>
          </cell>
          <cell r="C389" t="str">
            <v>加拿大</v>
          </cell>
          <cell r="D389" t="str">
            <v>糖果</v>
          </cell>
          <cell r="E389">
            <v>349</v>
          </cell>
        </row>
        <row r="390">
          <cell r="A390">
            <v>1995</v>
          </cell>
          <cell r="B390">
            <v>35019</v>
          </cell>
          <cell r="C390" t="str">
            <v>加拿大</v>
          </cell>
          <cell r="D390" t="str">
            <v>饮料</v>
          </cell>
          <cell r="E390">
            <v>1104</v>
          </cell>
        </row>
        <row r="391">
          <cell r="A391">
            <v>1995</v>
          </cell>
          <cell r="B391">
            <v>35019</v>
          </cell>
          <cell r="C391" t="str">
            <v>加拿大</v>
          </cell>
          <cell r="D391" t="str">
            <v>乳制品</v>
          </cell>
          <cell r="E391">
            <v>440</v>
          </cell>
        </row>
        <row r="392">
          <cell r="A392">
            <v>1995</v>
          </cell>
          <cell r="B392">
            <v>35020</v>
          </cell>
          <cell r="C392" t="str">
            <v>加拿大</v>
          </cell>
          <cell r="D392" t="str">
            <v>香料</v>
          </cell>
          <cell r="E392">
            <v>85.4</v>
          </cell>
        </row>
        <row r="393">
          <cell r="A393">
            <v>1995</v>
          </cell>
          <cell r="B393">
            <v>35020</v>
          </cell>
          <cell r="C393" t="str">
            <v>加拿大</v>
          </cell>
          <cell r="D393" t="str">
            <v>海洋食品</v>
          </cell>
          <cell r="E393">
            <v>95</v>
          </cell>
        </row>
        <row r="394">
          <cell r="A394">
            <v>1995</v>
          </cell>
          <cell r="B394">
            <v>35024</v>
          </cell>
          <cell r="C394" t="str">
            <v>加拿大</v>
          </cell>
          <cell r="D394" t="str">
            <v>糖果</v>
          </cell>
          <cell r="E394">
            <v>110.4</v>
          </cell>
        </row>
        <row r="395">
          <cell r="A395">
            <v>1995</v>
          </cell>
          <cell r="B395">
            <v>35024</v>
          </cell>
          <cell r="C395" t="str">
            <v>加拿大</v>
          </cell>
          <cell r="D395" t="str">
            <v>海洋食品</v>
          </cell>
          <cell r="E395">
            <v>405.3</v>
          </cell>
        </row>
        <row r="396">
          <cell r="A396">
            <v>1995</v>
          </cell>
          <cell r="B396">
            <v>35024</v>
          </cell>
          <cell r="C396" t="str">
            <v>加拿大</v>
          </cell>
          <cell r="D396" t="str">
            <v>肉/家禽</v>
          </cell>
          <cell r="E396">
            <v>3936</v>
          </cell>
        </row>
        <row r="397">
          <cell r="A397">
            <v>1995</v>
          </cell>
          <cell r="B397">
            <v>35025</v>
          </cell>
          <cell r="C397" t="str">
            <v>加拿大</v>
          </cell>
          <cell r="D397" t="str">
            <v>海洋食品</v>
          </cell>
          <cell r="E397">
            <v>558</v>
          </cell>
        </row>
        <row r="398">
          <cell r="A398">
            <v>1995</v>
          </cell>
          <cell r="B398">
            <v>35025</v>
          </cell>
          <cell r="C398" t="str">
            <v>加拿大</v>
          </cell>
          <cell r="D398" t="str">
            <v>糖果</v>
          </cell>
          <cell r="E398">
            <v>936.9</v>
          </cell>
        </row>
        <row r="399">
          <cell r="A399">
            <v>1995</v>
          </cell>
          <cell r="B399">
            <v>35025</v>
          </cell>
          <cell r="C399" t="str">
            <v>加拿大</v>
          </cell>
          <cell r="D399" t="str">
            <v>海洋食品</v>
          </cell>
          <cell r="E399">
            <v>1045</v>
          </cell>
        </row>
        <row r="400">
          <cell r="A400">
            <v>1995</v>
          </cell>
          <cell r="B400">
            <v>35025</v>
          </cell>
          <cell r="C400" t="str">
            <v>加拿大</v>
          </cell>
          <cell r="D400" t="str">
            <v>海洋食品</v>
          </cell>
          <cell r="E400">
            <v>288</v>
          </cell>
        </row>
        <row r="401">
          <cell r="A401">
            <v>1995</v>
          </cell>
          <cell r="B401">
            <v>35025</v>
          </cell>
          <cell r="C401" t="str">
            <v>加拿大</v>
          </cell>
          <cell r="D401" t="str">
            <v>饮料</v>
          </cell>
          <cell r="E401">
            <v>427.5</v>
          </cell>
        </row>
        <row r="402">
          <cell r="A402">
            <v>1995</v>
          </cell>
          <cell r="B402">
            <v>35025</v>
          </cell>
          <cell r="C402" t="str">
            <v>加拿大</v>
          </cell>
          <cell r="D402" t="str">
            <v>肉/家禽</v>
          </cell>
          <cell r="E402">
            <v>789.75</v>
          </cell>
        </row>
        <row r="403">
          <cell r="A403">
            <v>1995</v>
          </cell>
          <cell r="B403">
            <v>35025</v>
          </cell>
          <cell r="C403" t="str">
            <v>加拿大</v>
          </cell>
          <cell r="D403" t="str">
            <v>糖果</v>
          </cell>
          <cell r="E403">
            <v>356.25</v>
          </cell>
        </row>
        <row r="404">
          <cell r="A404">
            <v>1995</v>
          </cell>
          <cell r="B404">
            <v>35025</v>
          </cell>
          <cell r="C404" t="str">
            <v>加拿大</v>
          </cell>
          <cell r="D404" t="str">
            <v>面食/谷类</v>
          </cell>
          <cell r="E404">
            <v>513</v>
          </cell>
        </row>
        <row r="405">
          <cell r="A405">
            <v>1995</v>
          </cell>
          <cell r="B405">
            <v>35025</v>
          </cell>
          <cell r="C405" t="str">
            <v>加拿大</v>
          </cell>
          <cell r="D405" t="str">
            <v>海洋食品</v>
          </cell>
          <cell r="E405">
            <v>119.25</v>
          </cell>
        </row>
        <row r="406">
          <cell r="A406">
            <v>1995</v>
          </cell>
          <cell r="B406">
            <v>35027</v>
          </cell>
          <cell r="C406" t="str">
            <v>美国</v>
          </cell>
          <cell r="D406" t="str">
            <v>糖果</v>
          </cell>
          <cell r="E406">
            <v>303.99999976158142</v>
          </cell>
        </row>
        <row r="407">
          <cell r="A407">
            <v>1995</v>
          </cell>
          <cell r="B407">
            <v>35027</v>
          </cell>
          <cell r="C407" t="str">
            <v>美国</v>
          </cell>
          <cell r="D407" t="str">
            <v>肉/家禽</v>
          </cell>
          <cell r="E407">
            <v>111.75</v>
          </cell>
        </row>
        <row r="408">
          <cell r="A408">
            <v>1995</v>
          </cell>
          <cell r="B408">
            <v>35027</v>
          </cell>
          <cell r="C408" t="str">
            <v>美国</v>
          </cell>
          <cell r="D408" t="str">
            <v>乳制品</v>
          </cell>
          <cell r="E408">
            <v>854.99999932944775</v>
          </cell>
        </row>
        <row r="409">
          <cell r="A409">
            <v>1995</v>
          </cell>
          <cell r="B409">
            <v>35030</v>
          </cell>
          <cell r="C409" t="str">
            <v>美国</v>
          </cell>
          <cell r="D409" t="str">
            <v>乳制品</v>
          </cell>
          <cell r="E409">
            <v>1368</v>
          </cell>
        </row>
        <row r="410">
          <cell r="A410">
            <v>1995</v>
          </cell>
          <cell r="B410">
            <v>35030</v>
          </cell>
          <cell r="C410" t="str">
            <v>美国</v>
          </cell>
          <cell r="D410" t="str">
            <v>糖果</v>
          </cell>
          <cell r="E410">
            <v>349</v>
          </cell>
        </row>
        <row r="411">
          <cell r="A411">
            <v>1995</v>
          </cell>
          <cell r="B411">
            <v>35030</v>
          </cell>
          <cell r="C411" t="str">
            <v>美国</v>
          </cell>
          <cell r="D411" t="str">
            <v>海洋食品</v>
          </cell>
          <cell r="E411">
            <v>760</v>
          </cell>
        </row>
        <row r="412">
          <cell r="A412">
            <v>1995</v>
          </cell>
          <cell r="B412">
            <v>35030</v>
          </cell>
          <cell r="C412" t="str">
            <v>美国</v>
          </cell>
          <cell r="D412" t="str">
            <v>糖果</v>
          </cell>
          <cell r="E412">
            <v>986</v>
          </cell>
        </row>
        <row r="413">
          <cell r="A413">
            <v>1995</v>
          </cell>
          <cell r="B413">
            <v>35030</v>
          </cell>
          <cell r="C413" t="str">
            <v>加拿大</v>
          </cell>
          <cell r="D413" t="str">
            <v>海洋食品</v>
          </cell>
          <cell r="E413">
            <v>562.5</v>
          </cell>
        </row>
        <row r="414">
          <cell r="A414">
            <v>1995</v>
          </cell>
          <cell r="B414">
            <v>35030</v>
          </cell>
          <cell r="C414" t="str">
            <v>加拿大</v>
          </cell>
          <cell r="D414" t="str">
            <v>海洋食品</v>
          </cell>
          <cell r="E414">
            <v>58.252499999999998</v>
          </cell>
        </row>
        <row r="415">
          <cell r="A415">
            <v>1995</v>
          </cell>
          <cell r="B415">
            <v>35030</v>
          </cell>
          <cell r="C415" t="str">
            <v>加拿大</v>
          </cell>
          <cell r="D415" t="str">
            <v>肉/家禽</v>
          </cell>
          <cell r="E415">
            <v>223.5</v>
          </cell>
        </row>
        <row r="416">
          <cell r="A416">
            <v>1995</v>
          </cell>
          <cell r="B416">
            <v>35032</v>
          </cell>
          <cell r="C416" t="str">
            <v>美国</v>
          </cell>
          <cell r="D416" t="str">
            <v>香料</v>
          </cell>
          <cell r="E416">
            <v>923.87499927543104</v>
          </cell>
        </row>
        <row r="417">
          <cell r="A417">
            <v>1995</v>
          </cell>
          <cell r="B417">
            <v>35032</v>
          </cell>
          <cell r="C417" t="str">
            <v>加拿大</v>
          </cell>
          <cell r="D417" t="str">
            <v>饮料</v>
          </cell>
          <cell r="E417">
            <v>57</v>
          </cell>
        </row>
        <row r="418">
          <cell r="A418">
            <v>1995</v>
          </cell>
          <cell r="B418">
            <v>35032</v>
          </cell>
          <cell r="C418" t="str">
            <v>加拿大</v>
          </cell>
          <cell r="D418" t="str">
            <v>乳制品</v>
          </cell>
          <cell r="E418">
            <v>625</v>
          </cell>
        </row>
        <row r="419">
          <cell r="A419">
            <v>1995</v>
          </cell>
          <cell r="B419">
            <v>35032</v>
          </cell>
          <cell r="C419" t="str">
            <v>加拿大</v>
          </cell>
          <cell r="D419" t="str">
            <v>糖果</v>
          </cell>
          <cell r="E419">
            <v>562.5</v>
          </cell>
        </row>
        <row r="420">
          <cell r="A420">
            <v>1995</v>
          </cell>
          <cell r="B420">
            <v>35032</v>
          </cell>
          <cell r="C420" t="str">
            <v>加拿大</v>
          </cell>
          <cell r="D420" t="str">
            <v>饮料</v>
          </cell>
          <cell r="E420">
            <v>325.5</v>
          </cell>
        </row>
        <row r="421">
          <cell r="A421">
            <v>1995</v>
          </cell>
          <cell r="B421">
            <v>35033</v>
          </cell>
          <cell r="C421" t="str">
            <v>加拿大</v>
          </cell>
          <cell r="D421" t="str">
            <v>糖果</v>
          </cell>
          <cell r="E421">
            <v>468.45</v>
          </cell>
        </row>
        <row r="422">
          <cell r="A422">
            <v>1995</v>
          </cell>
          <cell r="B422">
            <v>35044</v>
          </cell>
          <cell r="C422" t="str">
            <v>加拿大</v>
          </cell>
          <cell r="D422" t="str">
            <v>香料</v>
          </cell>
          <cell r="E422">
            <v>512.99999915063381</v>
          </cell>
        </row>
        <row r="423">
          <cell r="A423">
            <v>1995</v>
          </cell>
          <cell r="B423">
            <v>35044</v>
          </cell>
          <cell r="C423" t="str">
            <v>加拿大</v>
          </cell>
          <cell r="D423" t="str">
            <v>香料</v>
          </cell>
          <cell r="E423">
            <v>23.399999961256981</v>
          </cell>
        </row>
        <row r="424">
          <cell r="A424">
            <v>1995</v>
          </cell>
          <cell r="B424">
            <v>35047</v>
          </cell>
          <cell r="C424" t="str">
            <v>加拿大</v>
          </cell>
          <cell r="D424" t="str">
            <v>农产品</v>
          </cell>
          <cell r="E424">
            <v>182.39999932050705</v>
          </cell>
        </row>
        <row r="425">
          <cell r="A425">
            <v>1995</v>
          </cell>
          <cell r="B425">
            <v>35047</v>
          </cell>
          <cell r="C425" t="str">
            <v>加拿大</v>
          </cell>
          <cell r="D425" t="str">
            <v>饮料</v>
          </cell>
          <cell r="E425">
            <v>503.99999812245369</v>
          </cell>
        </row>
        <row r="426">
          <cell r="A426">
            <v>1995</v>
          </cell>
          <cell r="B426">
            <v>35047</v>
          </cell>
          <cell r="C426" t="str">
            <v>加拿大</v>
          </cell>
          <cell r="D426" t="str">
            <v>海洋食品</v>
          </cell>
          <cell r="E426">
            <v>303.99999886751175</v>
          </cell>
        </row>
        <row r="427">
          <cell r="A427">
            <v>1995</v>
          </cell>
          <cell r="B427">
            <v>35047</v>
          </cell>
          <cell r="C427" t="str">
            <v>加拿大</v>
          </cell>
          <cell r="D427" t="str">
            <v>面食/谷类</v>
          </cell>
          <cell r="E427">
            <v>425.59999841451645</v>
          </cell>
        </row>
        <row r="428">
          <cell r="A428">
            <v>1995</v>
          </cell>
          <cell r="B428">
            <v>35052</v>
          </cell>
          <cell r="C428" t="str">
            <v>美国</v>
          </cell>
          <cell r="D428" t="str">
            <v>海洋食品</v>
          </cell>
          <cell r="E428">
            <v>1500</v>
          </cell>
        </row>
        <row r="429">
          <cell r="A429">
            <v>1995</v>
          </cell>
          <cell r="B429">
            <v>35052</v>
          </cell>
          <cell r="C429" t="str">
            <v>美国</v>
          </cell>
          <cell r="D429" t="str">
            <v>香料</v>
          </cell>
          <cell r="E429">
            <v>311.2</v>
          </cell>
        </row>
        <row r="430">
          <cell r="A430">
            <v>1995</v>
          </cell>
          <cell r="B430">
            <v>35052</v>
          </cell>
          <cell r="C430" t="str">
            <v>美国</v>
          </cell>
          <cell r="D430" t="str">
            <v>乳制品</v>
          </cell>
          <cell r="E430">
            <v>2475</v>
          </cell>
        </row>
        <row r="431">
          <cell r="A431">
            <v>1995</v>
          </cell>
          <cell r="B431">
            <v>35052</v>
          </cell>
          <cell r="C431" t="str">
            <v>美国</v>
          </cell>
          <cell r="D431" t="str">
            <v>乳制品</v>
          </cell>
          <cell r="E431">
            <v>243.6</v>
          </cell>
        </row>
        <row r="432">
          <cell r="A432">
            <v>1995</v>
          </cell>
          <cell r="B432">
            <v>35054</v>
          </cell>
          <cell r="C432" t="str">
            <v>加拿大</v>
          </cell>
          <cell r="D432" t="str">
            <v>面食/谷类</v>
          </cell>
          <cell r="E432">
            <v>396</v>
          </cell>
        </row>
        <row r="433">
          <cell r="A433">
            <v>1995</v>
          </cell>
          <cell r="B433">
            <v>35054</v>
          </cell>
          <cell r="C433" t="str">
            <v>加拿大</v>
          </cell>
          <cell r="D433" t="str">
            <v>海洋食品</v>
          </cell>
          <cell r="E433">
            <v>736</v>
          </cell>
        </row>
        <row r="434">
          <cell r="A434">
            <v>1995</v>
          </cell>
          <cell r="B434">
            <v>35054</v>
          </cell>
          <cell r="C434" t="str">
            <v>加拿大</v>
          </cell>
          <cell r="D434" t="str">
            <v>面食/谷类</v>
          </cell>
          <cell r="E434">
            <v>1064</v>
          </cell>
        </row>
        <row r="435">
          <cell r="A435">
            <v>1995</v>
          </cell>
          <cell r="B435">
            <v>35061</v>
          </cell>
          <cell r="C435" t="str">
            <v>加拿大</v>
          </cell>
          <cell r="D435" t="str">
            <v>海洋食品</v>
          </cell>
          <cell r="E435">
            <v>1049.9999960884452</v>
          </cell>
        </row>
        <row r="436">
          <cell r="A436">
            <v>1995</v>
          </cell>
          <cell r="B436">
            <v>35061</v>
          </cell>
          <cell r="C436" t="str">
            <v>加拿大</v>
          </cell>
          <cell r="D436" t="str">
            <v>海洋食品</v>
          </cell>
          <cell r="E436">
            <v>303.99999886751175</v>
          </cell>
        </row>
        <row r="437">
          <cell r="A437">
            <v>1995</v>
          </cell>
          <cell r="B437">
            <v>35061</v>
          </cell>
          <cell r="C437" t="str">
            <v>加拿大</v>
          </cell>
          <cell r="D437" t="str">
            <v>糖果</v>
          </cell>
          <cell r="E437">
            <v>59.999999776482582</v>
          </cell>
        </row>
        <row r="438">
          <cell r="A438">
            <v>1995</v>
          </cell>
          <cell r="B438">
            <v>35061</v>
          </cell>
          <cell r="C438" t="str">
            <v>加拿大</v>
          </cell>
          <cell r="D438" t="str">
            <v>乳制品</v>
          </cell>
          <cell r="E438">
            <v>575.99999785423279</v>
          </cell>
        </row>
        <row r="439">
          <cell r="A439">
            <v>1995</v>
          </cell>
          <cell r="B439">
            <v>35061</v>
          </cell>
          <cell r="C439" t="str">
            <v>加拿大</v>
          </cell>
          <cell r="D439" t="str">
            <v>饮料</v>
          </cell>
          <cell r="E439">
            <v>420</v>
          </cell>
        </row>
        <row r="440">
          <cell r="A440">
            <v>1995</v>
          </cell>
          <cell r="B440">
            <v>35061</v>
          </cell>
          <cell r="C440" t="str">
            <v>加拿大</v>
          </cell>
          <cell r="D440" t="str">
            <v>乳制品</v>
          </cell>
          <cell r="E440">
            <v>385</v>
          </cell>
        </row>
        <row r="441">
          <cell r="A441">
            <v>1995</v>
          </cell>
          <cell r="B441">
            <v>35061</v>
          </cell>
          <cell r="C441" t="str">
            <v>加拿大</v>
          </cell>
          <cell r="D441" t="str">
            <v>糖果</v>
          </cell>
          <cell r="E441">
            <v>1479</v>
          </cell>
        </row>
        <row r="442">
          <cell r="A442">
            <v>1995</v>
          </cell>
          <cell r="B442">
            <v>35061</v>
          </cell>
          <cell r="C442" t="str">
            <v>加拿大</v>
          </cell>
          <cell r="D442" t="str">
            <v>面食/谷类</v>
          </cell>
          <cell r="E442">
            <v>798</v>
          </cell>
        </row>
        <row r="443">
          <cell r="A443">
            <v>1996</v>
          </cell>
          <cell r="B443">
            <v>35066</v>
          </cell>
          <cell r="C443" t="str">
            <v>加拿大</v>
          </cell>
          <cell r="D443" t="str">
            <v>糖果</v>
          </cell>
          <cell r="E443">
            <v>367.5</v>
          </cell>
        </row>
        <row r="444">
          <cell r="A444">
            <v>1996</v>
          </cell>
          <cell r="B444">
            <v>35066</v>
          </cell>
          <cell r="C444" t="str">
            <v>加拿大</v>
          </cell>
          <cell r="D444" t="str">
            <v>饮料</v>
          </cell>
          <cell r="E444">
            <v>139.5</v>
          </cell>
        </row>
        <row r="445">
          <cell r="A445">
            <v>1996</v>
          </cell>
          <cell r="B445">
            <v>35068</v>
          </cell>
          <cell r="C445" t="str">
            <v>美国</v>
          </cell>
          <cell r="D445" t="str">
            <v>香料</v>
          </cell>
          <cell r="E445">
            <v>1515.5999974906445</v>
          </cell>
        </row>
        <row r="446">
          <cell r="A446">
            <v>1996</v>
          </cell>
          <cell r="B446">
            <v>35069</v>
          </cell>
          <cell r="C446" t="str">
            <v>美国</v>
          </cell>
          <cell r="D446" t="str">
            <v>饮料</v>
          </cell>
          <cell r="E446">
            <v>760</v>
          </cell>
        </row>
        <row r="447">
          <cell r="A447">
            <v>1996</v>
          </cell>
          <cell r="B447">
            <v>35069</v>
          </cell>
          <cell r="C447" t="str">
            <v>美国</v>
          </cell>
          <cell r="D447" t="str">
            <v>农产品</v>
          </cell>
          <cell r="E447">
            <v>1050</v>
          </cell>
        </row>
        <row r="448">
          <cell r="A448">
            <v>1996</v>
          </cell>
          <cell r="B448">
            <v>35069</v>
          </cell>
          <cell r="C448" t="str">
            <v>美国</v>
          </cell>
          <cell r="D448" t="str">
            <v>糖果</v>
          </cell>
          <cell r="E448">
            <v>500</v>
          </cell>
        </row>
        <row r="449">
          <cell r="A449">
            <v>1996</v>
          </cell>
          <cell r="B449">
            <v>35074</v>
          </cell>
          <cell r="C449" t="str">
            <v>美国</v>
          </cell>
          <cell r="D449" t="str">
            <v>肉/家禽</v>
          </cell>
          <cell r="E449">
            <v>2228.2199999999998</v>
          </cell>
        </row>
        <row r="450">
          <cell r="A450">
            <v>1996</v>
          </cell>
          <cell r="B450">
            <v>35074</v>
          </cell>
          <cell r="C450" t="str">
            <v>美国</v>
          </cell>
          <cell r="D450" t="str">
            <v>乳制品</v>
          </cell>
          <cell r="E450">
            <v>1375</v>
          </cell>
        </row>
        <row r="451">
          <cell r="A451">
            <v>1996</v>
          </cell>
          <cell r="B451">
            <v>35076</v>
          </cell>
          <cell r="C451" t="str">
            <v>加拿大</v>
          </cell>
          <cell r="D451" t="str">
            <v>海洋食品</v>
          </cell>
          <cell r="E451">
            <v>186</v>
          </cell>
        </row>
        <row r="452">
          <cell r="A452">
            <v>1996</v>
          </cell>
          <cell r="B452">
            <v>35076</v>
          </cell>
          <cell r="C452" t="str">
            <v>加拿大</v>
          </cell>
          <cell r="D452" t="str">
            <v>饮料</v>
          </cell>
          <cell r="E452">
            <v>42</v>
          </cell>
        </row>
        <row r="453">
          <cell r="A453">
            <v>1996</v>
          </cell>
          <cell r="B453">
            <v>35080</v>
          </cell>
          <cell r="C453" t="str">
            <v>美国</v>
          </cell>
          <cell r="D453" t="str">
            <v>糖果</v>
          </cell>
          <cell r="E453">
            <v>349</v>
          </cell>
        </row>
        <row r="454">
          <cell r="A454">
            <v>1996</v>
          </cell>
          <cell r="B454">
            <v>35080</v>
          </cell>
          <cell r="C454" t="str">
            <v>美国</v>
          </cell>
          <cell r="D454" t="str">
            <v>糖果</v>
          </cell>
          <cell r="E454">
            <v>986</v>
          </cell>
        </row>
        <row r="455">
          <cell r="A455">
            <v>1996</v>
          </cell>
          <cell r="B455">
            <v>35086</v>
          </cell>
          <cell r="C455" t="str">
            <v>美国</v>
          </cell>
          <cell r="D455" t="str">
            <v>糖果</v>
          </cell>
          <cell r="E455">
            <v>436.99999965727329</v>
          </cell>
        </row>
        <row r="456">
          <cell r="A456">
            <v>1996</v>
          </cell>
          <cell r="B456">
            <v>35086</v>
          </cell>
          <cell r="C456" t="str">
            <v>美国</v>
          </cell>
          <cell r="D456" t="str">
            <v>饮料</v>
          </cell>
          <cell r="E456">
            <v>294.499999769032</v>
          </cell>
        </row>
        <row r="457">
          <cell r="A457">
            <v>1996</v>
          </cell>
          <cell r="B457">
            <v>35087</v>
          </cell>
          <cell r="C457" t="str">
            <v>美国</v>
          </cell>
          <cell r="D457" t="str">
            <v>肉/家禽</v>
          </cell>
          <cell r="E457">
            <v>1646.4069987087696</v>
          </cell>
        </row>
        <row r="458">
          <cell r="A458">
            <v>1996</v>
          </cell>
          <cell r="B458">
            <v>35087</v>
          </cell>
          <cell r="C458" t="str">
            <v>美国</v>
          </cell>
          <cell r="D458" t="str">
            <v>海洋食品</v>
          </cell>
          <cell r="E458">
            <v>183.34999985620379</v>
          </cell>
        </row>
        <row r="459">
          <cell r="A459">
            <v>1996</v>
          </cell>
          <cell r="B459">
            <v>35089</v>
          </cell>
          <cell r="C459" t="str">
            <v>美国</v>
          </cell>
          <cell r="D459" t="str">
            <v>乳制品</v>
          </cell>
          <cell r="E459">
            <v>420</v>
          </cell>
        </row>
        <row r="460">
          <cell r="A460">
            <v>1996</v>
          </cell>
          <cell r="B460">
            <v>35090</v>
          </cell>
          <cell r="C460" t="str">
            <v>美国</v>
          </cell>
          <cell r="D460" t="str">
            <v>海洋食品</v>
          </cell>
          <cell r="E460">
            <v>101.99999928474426</v>
          </cell>
        </row>
        <row r="461">
          <cell r="A461">
            <v>1996</v>
          </cell>
          <cell r="B461">
            <v>35090</v>
          </cell>
          <cell r="C461" t="str">
            <v>美国</v>
          </cell>
          <cell r="D461" t="str">
            <v>饮料</v>
          </cell>
          <cell r="E461">
            <v>76.499999463558197</v>
          </cell>
        </row>
        <row r="462">
          <cell r="A462">
            <v>1996</v>
          </cell>
          <cell r="B462">
            <v>35090</v>
          </cell>
          <cell r="C462" t="str">
            <v>美国</v>
          </cell>
          <cell r="D462" t="str">
            <v>乳制品</v>
          </cell>
          <cell r="E462">
            <v>1375</v>
          </cell>
        </row>
        <row r="463">
          <cell r="A463">
            <v>1996</v>
          </cell>
          <cell r="B463">
            <v>35094</v>
          </cell>
          <cell r="C463" t="str">
            <v>加拿大</v>
          </cell>
          <cell r="D463" t="str">
            <v>饮料</v>
          </cell>
          <cell r="E463">
            <v>140</v>
          </cell>
        </row>
        <row r="464">
          <cell r="A464">
            <v>1996</v>
          </cell>
          <cell r="B464">
            <v>35094</v>
          </cell>
          <cell r="C464" t="str">
            <v>加拿大</v>
          </cell>
          <cell r="D464" t="str">
            <v>饮料</v>
          </cell>
          <cell r="E464">
            <v>2635</v>
          </cell>
        </row>
        <row r="465">
          <cell r="A465">
            <v>1996</v>
          </cell>
          <cell r="B465">
            <v>35096</v>
          </cell>
          <cell r="C465" t="str">
            <v>加拿大</v>
          </cell>
          <cell r="D465" t="str">
            <v>面食/谷类</v>
          </cell>
          <cell r="E465">
            <v>645.999995470047</v>
          </cell>
        </row>
        <row r="466">
          <cell r="A466">
            <v>1996</v>
          </cell>
          <cell r="B466">
            <v>35096</v>
          </cell>
          <cell r="C466" t="str">
            <v>加拿大</v>
          </cell>
          <cell r="D466" t="str">
            <v>饮料</v>
          </cell>
          <cell r="E466">
            <v>764.99999463558197</v>
          </cell>
        </row>
        <row r="467">
          <cell r="A467">
            <v>1996</v>
          </cell>
          <cell r="B467">
            <v>35100</v>
          </cell>
          <cell r="C467" t="str">
            <v>加拿大</v>
          </cell>
          <cell r="D467" t="str">
            <v>乳制品</v>
          </cell>
          <cell r="E467">
            <v>40</v>
          </cell>
        </row>
        <row r="468">
          <cell r="A468">
            <v>1996</v>
          </cell>
          <cell r="B468">
            <v>35101</v>
          </cell>
          <cell r="C468" t="str">
            <v>加拿大</v>
          </cell>
          <cell r="D468" t="str">
            <v>饮料</v>
          </cell>
          <cell r="E468">
            <v>7509.749994110316</v>
          </cell>
        </row>
        <row r="469">
          <cell r="A469">
            <v>1996</v>
          </cell>
          <cell r="B469">
            <v>35101</v>
          </cell>
          <cell r="C469" t="str">
            <v>加拿大</v>
          </cell>
          <cell r="D469" t="str">
            <v>糖果</v>
          </cell>
          <cell r="E469">
            <v>936.69999926537275</v>
          </cell>
        </row>
        <row r="470">
          <cell r="A470">
            <v>1996</v>
          </cell>
          <cell r="B470">
            <v>35101</v>
          </cell>
          <cell r="C470" t="str">
            <v>美国</v>
          </cell>
          <cell r="D470" t="str">
            <v>糖果</v>
          </cell>
          <cell r="E470">
            <v>1061.8199925541878</v>
          </cell>
        </row>
        <row r="471">
          <cell r="A471">
            <v>1996</v>
          </cell>
          <cell r="B471">
            <v>35101</v>
          </cell>
          <cell r="C471" t="str">
            <v>美国</v>
          </cell>
          <cell r="D471" t="str">
            <v>饮料</v>
          </cell>
          <cell r="E471">
            <v>7905</v>
          </cell>
        </row>
        <row r="472">
          <cell r="A472">
            <v>1996</v>
          </cell>
          <cell r="B472">
            <v>35101</v>
          </cell>
          <cell r="C472" t="str">
            <v>美国</v>
          </cell>
          <cell r="D472" t="str">
            <v>海洋食品</v>
          </cell>
          <cell r="E472">
            <v>938.39999341964722</v>
          </cell>
        </row>
        <row r="473">
          <cell r="A473">
            <v>1996</v>
          </cell>
          <cell r="B473">
            <v>35101</v>
          </cell>
          <cell r="C473" t="str">
            <v>美国</v>
          </cell>
          <cell r="D473" t="str">
            <v>糖果</v>
          </cell>
          <cell r="E473">
            <v>1047.6249926537275</v>
          </cell>
        </row>
        <row r="474">
          <cell r="A474">
            <v>1996</v>
          </cell>
          <cell r="B474">
            <v>35102</v>
          </cell>
          <cell r="C474" t="str">
            <v>加拿大</v>
          </cell>
          <cell r="D474" t="str">
            <v>面食/谷类</v>
          </cell>
          <cell r="E474">
            <v>1140</v>
          </cell>
        </row>
        <row r="475">
          <cell r="A475">
            <v>1996</v>
          </cell>
          <cell r="B475">
            <v>35103</v>
          </cell>
          <cell r="C475" t="str">
            <v>加拿大</v>
          </cell>
          <cell r="D475" t="str">
            <v>饮料</v>
          </cell>
          <cell r="E475">
            <v>360</v>
          </cell>
        </row>
        <row r="476">
          <cell r="A476">
            <v>1996</v>
          </cell>
          <cell r="B476">
            <v>35103</v>
          </cell>
          <cell r="C476" t="str">
            <v>加拿大</v>
          </cell>
          <cell r="D476" t="str">
            <v>农产品</v>
          </cell>
          <cell r="E476">
            <v>318</v>
          </cell>
        </row>
        <row r="477">
          <cell r="A477">
            <v>1996</v>
          </cell>
          <cell r="B477">
            <v>35103</v>
          </cell>
          <cell r="C477" t="str">
            <v>加拿大</v>
          </cell>
          <cell r="D477" t="str">
            <v>糖果</v>
          </cell>
          <cell r="E477">
            <v>147.9</v>
          </cell>
        </row>
        <row r="478">
          <cell r="A478">
            <v>1996</v>
          </cell>
          <cell r="B478">
            <v>35103</v>
          </cell>
          <cell r="C478" t="str">
            <v>加拿大</v>
          </cell>
          <cell r="D478" t="str">
            <v>饮料</v>
          </cell>
          <cell r="E478">
            <v>90</v>
          </cell>
        </row>
        <row r="479">
          <cell r="A479">
            <v>1996</v>
          </cell>
          <cell r="B479">
            <v>35104</v>
          </cell>
          <cell r="C479" t="str">
            <v>美国</v>
          </cell>
          <cell r="D479" t="str">
            <v>糖果</v>
          </cell>
          <cell r="E479">
            <v>374.76</v>
          </cell>
        </row>
        <row r="480">
          <cell r="A480">
            <v>1996</v>
          </cell>
          <cell r="B480">
            <v>35104</v>
          </cell>
          <cell r="C480" t="str">
            <v>美国</v>
          </cell>
          <cell r="D480" t="str">
            <v>肉/家禽</v>
          </cell>
          <cell r="E480">
            <v>656</v>
          </cell>
        </row>
        <row r="481">
          <cell r="A481">
            <v>1996</v>
          </cell>
          <cell r="B481">
            <v>35110</v>
          </cell>
          <cell r="C481" t="str">
            <v>美国</v>
          </cell>
          <cell r="D481" t="str">
            <v>农产品</v>
          </cell>
          <cell r="E481">
            <v>539.99999910593033</v>
          </cell>
        </row>
        <row r="482">
          <cell r="A482">
            <v>1996</v>
          </cell>
          <cell r="B482">
            <v>35110</v>
          </cell>
          <cell r="C482" t="str">
            <v>美国</v>
          </cell>
          <cell r="D482" t="str">
            <v>乳制品</v>
          </cell>
          <cell r="E482">
            <v>101.24999983236194</v>
          </cell>
        </row>
        <row r="483">
          <cell r="A483">
            <v>1996</v>
          </cell>
          <cell r="B483">
            <v>35110</v>
          </cell>
          <cell r="C483" t="str">
            <v>美国</v>
          </cell>
          <cell r="D483" t="str">
            <v>肉/家禽</v>
          </cell>
          <cell r="E483">
            <v>265.67999956011772</v>
          </cell>
        </row>
        <row r="484">
          <cell r="A484">
            <v>1996</v>
          </cell>
          <cell r="B484">
            <v>35116</v>
          </cell>
          <cell r="C484" t="str">
            <v>美国</v>
          </cell>
          <cell r="D484" t="str">
            <v>面食/谷类</v>
          </cell>
          <cell r="E484">
            <v>566.99999906122684</v>
          </cell>
        </row>
        <row r="485">
          <cell r="A485">
            <v>1996</v>
          </cell>
          <cell r="B485">
            <v>35116</v>
          </cell>
          <cell r="C485" t="str">
            <v>美国</v>
          </cell>
          <cell r="D485" t="str">
            <v>饮料</v>
          </cell>
          <cell r="E485">
            <v>404.99999932944775</v>
          </cell>
        </row>
        <row r="486">
          <cell r="A486">
            <v>1996</v>
          </cell>
          <cell r="B486">
            <v>35116</v>
          </cell>
          <cell r="C486" t="str">
            <v>美国</v>
          </cell>
          <cell r="D486" t="str">
            <v>面食/谷类</v>
          </cell>
          <cell r="E486">
            <v>529.19999912381172</v>
          </cell>
        </row>
        <row r="487">
          <cell r="A487">
            <v>1996</v>
          </cell>
          <cell r="B487">
            <v>35116</v>
          </cell>
          <cell r="C487" t="str">
            <v>美国</v>
          </cell>
          <cell r="D487" t="str">
            <v>海洋食品</v>
          </cell>
          <cell r="E487">
            <v>715.49999881535769</v>
          </cell>
        </row>
        <row r="488">
          <cell r="A488">
            <v>1996</v>
          </cell>
          <cell r="B488">
            <v>35116</v>
          </cell>
          <cell r="C488" t="str">
            <v>美国</v>
          </cell>
          <cell r="D488" t="str">
            <v>面食/谷类</v>
          </cell>
          <cell r="E488">
            <v>1596</v>
          </cell>
        </row>
        <row r="489">
          <cell r="A489">
            <v>1996</v>
          </cell>
          <cell r="B489">
            <v>35117</v>
          </cell>
          <cell r="C489" t="str">
            <v>加拿大</v>
          </cell>
          <cell r="D489" t="str">
            <v>饮料</v>
          </cell>
          <cell r="E489">
            <v>1151.9999957084656</v>
          </cell>
        </row>
        <row r="490">
          <cell r="A490">
            <v>1996</v>
          </cell>
          <cell r="B490">
            <v>35117</v>
          </cell>
          <cell r="C490" t="str">
            <v>加拿大</v>
          </cell>
          <cell r="D490" t="str">
            <v>糖果</v>
          </cell>
          <cell r="E490">
            <v>88.319999670982369</v>
          </cell>
        </row>
        <row r="491">
          <cell r="A491">
            <v>1996</v>
          </cell>
          <cell r="B491">
            <v>35117</v>
          </cell>
          <cell r="C491" t="str">
            <v>加拿大</v>
          </cell>
          <cell r="D491" t="str">
            <v>海洋食品</v>
          </cell>
          <cell r="E491">
            <v>1247.9999953508377</v>
          </cell>
        </row>
        <row r="492">
          <cell r="A492">
            <v>1996</v>
          </cell>
          <cell r="B492">
            <v>35117</v>
          </cell>
          <cell r="C492" t="str">
            <v>加拿大</v>
          </cell>
          <cell r="D492" t="str">
            <v>海洋食品</v>
          </cell>
          <cell r="E492">
            <v>273.59999898076057</v>
          </cell>
        </row>
        <row r="493">
          <cell r="A493">
            <v>1996</v>
          </cell>
          <cell r="B493">
            <v>35117</v>
          </cell>
          <cell r="C493" t="str">
            <v>加拿大</v>
          </cell>
          <cell r="D493" t="str">
            <v>乳制品</v>
          </cell>
          <cell r="E493">
            <v>1223.9999954402447</v>
          </cell>
        </row>
        <row r="494">
          <cell r="A494">
            <v>1996</v>
          </cell>
          <cell r="B494">
            <v>35117</v>
          </cell>
          <cell r="C494" t="str">
            <v>加拿大</v>
          </cell>
          <cell r="D494" t="str">
            <v>乳制品</v>
          </cell>
          <cell r="E494">
            <v>945.99999647587538</v>
          </cell>
        </row>
        <row r="495">
          <cell r="A495">
            <v>1996</v>
          </cell>
          <cell r="B495">
            <v>35118</v>
          </cell>
          <cell r="C495" t="str">
            <v>美国</v>
          </cell>
          <cell r="D495" t="str">
            <v>香料</v>
          </cell>
          <cell r="E495">
            <v>490</v>
          </cell>
        </row>
        <row r="496">
          <cell r="A496">
            <v>1996</v>
          </cell>
          <cell r="B496">
            <v>35118</v>
          </cell>
          <cell r="C496" t="str">
            <v>美国</v>
          </cell>
          <cell r="D496" t="str">
            <v>糖果</v>
          </cell>
          <cell r="E496">
            <v>477.81899664938447</v>
          </cell>
        </row>
        <row r="497">
          <cell r="A497">
            <v>1996</v>
          </cell>
          <cell r="B497">
            <v>35121</v>
          </cell>
          <cell r="C497" t="str">
            <v>加拿大</v>
          </cell>
          <cell r="D497" t="str">
            <v>饮料</v>
          </cell>
          <cell r="E497">
            <v>285</v>
          </cell>
        </row>
        <row r="498">
          <cell r="A498">
            <v>1996</v>
          </cell>
          <cell r="B498">
            <v>35121</v>
          </cell>
          <cell r="C498" t="str">
            <v>加拿大</v>
          </cell>
          <cell r="D498" t="str">
            <v>肉/家禽</v>
          </cell>
          <cell r="E498">
            <v>234</v>
          </cell>
        </row>
        <row r="499">
          <cell r="A499">
            <v>1996</v>
          </cell>
          <cell r="B499">
            <v>35121</v>
          </cell>
          <cell r="C499" t="str">
            <v>加拿大</v>
          </cell>
          <cell r="D499" t="str">
            <v>糖果</v>
          </cell>
          <cell r="E499">
            <v>2465</v>
          </cell>
        </row>
        <row r="500">
          <cell r="A500">
            <v>1996</v>
          </cell>
          <cell r="B500">
            <v>35122</v>
          </cell>
          <cell r="C500" t="str">
            <v>美国</v>
          </cell>
          <cell r="D500" t="str">
            <v>海洋食品</v>
          </cell>
          <cell r="E500">
            <v>625</v>
          </cell>
        </row>
        <row r="501">
          <cell r="A501">
            <v>1996</v>
          </cell>
          <cell r="B501">
            <v>35122</v>
          </cell>
          <cell r="C501" t="str">
            <v>加拿大</v>
          </cell>
          <cell r="D501" t="str">
            <v>糖果</v>
          </cell>
          <cell r="E501">
            <v>872.5</v>
          </cell>
        </row>
        <row r="502">
          <cell r="A502">
            <v>1996</v>
          </cell>
          <cell r="B502">
            <v>35122</v>
          </cell>
          <cell r="C502" t="str">
            <v>加拿大</v>
          </cell>
          <cell r="D502" t="str">
            <v>乳制品</v>
          </cell>
          <cell r="E502">
            <v>175</v>
          </cell>
        </row>
        <row r="503">
          <cell r="A503">
            <v>1996</v>
          </cell>
          <cell r="B503">
            <v>35122</v>
          </cell>
          <cell r="C503" t="str">
            <v>加拿大</v>
          </cell>
          <cell r="D503" t="str">
            <v>面食/谷类</v>
          </cell>
          <cell r="E503">
            <v>912</v>
          </cell>
        </row>
        <row r="504">
          <cell r="A504">
            <v>1996</v>
          </cell>
          <cell r="B504">
            <v>35122</v>
          </cell>
          <cell r="C504" t="str">
            <v>加拿大</v>
          </cell>
          <cell r="D504" t="str">
            <v>香料</v>
          </cell>
          <cell r="E504">
            <v>268.38749811798334</v>
          </cell>
        </row>
        <row r="505">
          <cell r="A505">
            <v>1996</v>
          </cell>
          <cell r="B505">
            <v>35124</v>
          </cell>
          <cell r="C505" t="str">
            <v>美国</v>
          </cell>
          <cell r="D505" t="str">
            <v>饮料</v>
          </cell>
          <cell r="E505">
            <v>135</v>
          </cell>
        </row>
        <row r="506">
          <cell r="A506">
            <v>1996</v>
          </cell>
          <cell r="B506">
            <v>35124</v>
          </cell>
          <cell r="C506" t="str">
            <v>美国</v>
          </cell>
          <cell r="D506" t="str">
            <v>肉/家禽</v>
          </cell>
          <cell r="E506">
            <v>195.5625</v>
          </cell>
        </row>
        <row r="507">
          <cell r="A507">
            <v>1996</v>
          </cell>
          <cell r="B507">
            <v>35124</v>
          </cell>
          <cell r="C507" t="str">
            <v>美国</v>
          </cell>
          <cell r="D507" t="str">
            <v>面食/谷类</v>
          </cell>
          <cell r="E507">
            <v>748.125</v>
          </cell>
        </row>
        <row r="508">
          <cell r="A508">
            <v>1996</v>
          </cell>
          <cell r="B508">
            <v>35125</v>
          </cell>
          <cell r="C508" t="str">
            <v>加拿大</v>
          </cell>
          <cell r="D508" t="str">
            <v>肉/家禽</v>
          </cell>
          <cell r="E508">
            <v>1638</v>
          </cell>
        </row>
        <row r="509">
          <cell r="A509">
            <v>1996</v>
          </cell>
          <cell r="B509">
            <v>35125</v>
          </cell>
          <cell r="C509" t="str">
            <v>加拿大</v>
          </cell>
          <cell r="D509" t="str">
            <v>海洋食品</v>
          </cell>
          <cell r="E509">
            <v>1250</v>
          </cell>
        </row>
        <row r="510">
          <cell r="A510">
            <v>1996</v>
          </cell>
          <cell r="B510">
            <v>35125</v>
          </cell>
          <cell r="C510" t="str">
            <v>加拿大</v>
          </cell>
          <cell r="D510" t="str">
            <v>糖果</v>
          </cell>
          <cell r="E510">
            <v>400</v>
          </cell>
        </row>
        <row r="511">
          <cell r="A511">
            <v>1996</v>
          </cell>
          <cell r="B511">
            <v>35125</v>
          </cell>
          <cell r="C511" t="str">
            <v>加拿大</v>
          </cell>
          <cell r="D511" t="str">
            <v>乳制品</v>
          </cell>
          <cell r="E511">
            <v>87.5</v>
          </cell>
        </row>
        <row r="512">
          <cell r="A512">
            <v>1996</v>
          </cell>
          <cell r="B512">
            <v>35125</v>
          </cell>
          <cell r="C512" t="str">
            <v>加拿大</v>
          </cell>
          <cell r="D512" t="str">
            <v>糖果</v>
          </cell>
          <cell r="E512">
            <v>147.9</v>
          </cell>
        </row>
        <row r="513">
          <cell r="A513">
            <v>1996</v>
          </cell>
          <cell r="B513">
            <v>35125</v>
          </cell>
          <cell r="C513" t="str">
            <v>美国</v>
          </cell>
          <cell r="D513" t="str">
            <v>乳制品</v>
          </cell>
          <cell r="E513">
            <v>525</v>
          </cell>
        </row>
        <row r="514">
          <cell r="A514">
            <v>1996</v>
          </cell>
          <cell r="B514">
            <v>35125</v>
          </cell>
          <cell r="C514" t="str">
            <v>美国</v>
          </cell>
          <cell r="D514" t="str">
            <v>面食/谷类</v>
          </cell>
          <cell r="E514">
            <v>56</v>
          </cell>
        </row>
        <row r="515">
          <cell r="A515">
            <v>1996</v>
          </cell>
          <cell r="B515">
            <v>35128</v>
          </cell>
          <cell r="C515" t="str">
            <v>美国</v>
          </cell>
          <cell r="D515" t="str">
            <v>饮料</v>
          </cell>
          <cell r="E515">
            <v>15019.499988220632</v>
          </cell>
        </row>
        <row r="516">
          <cell r="A516">
            <v>1996</v>
          </cell>
          <cell r="B516">
            <v>35128</v>
          </cell>
          <cell r="C516" t="str">
            <v>美国</v>
          </cell>
          <cell r="D516" t="str">
            <v>饮料</v>
          </cell>
          <cell r="E516">
            <v>1367.9999989271164</v>
          </cell>
        </row>
        <row r="517">
          <cell r="A517">
            <v>1996</v>
          </cell>
          <cell r="B517">
            <v>35129</v>
          </cell>
          <cell r="C517" t="str">
            <v>加拿大</v>
          </cell>
          <cell r="D517" t="str">
            <v>肉/家禽</v>
          </cell>
          <cell r="E517">
            <v>98.4</v>
          </cell>
        </row>
        <row r="518">
          <cell r="A518">
            <v>1996</v>
          </cell>
          <cell r="B518">
            <v>35136</v>
          </cell>
          <cell r="C518" t="str">
            <v>美国</v>
          </cell>
          <cell r="D518" t="str">
            <v>糖果</v>
          </cell>
          <cell r="E518">
            <v>1538.9999987930059</v>
          </cell>
        </row>
        <row r="519">
          <cell r="A519">
            <v>1996</v>
          </cell>
          <cell r="B519">
            <v>35137</v>
          </cell>
          <cell r="C519" t="str">
            <v>加拿大</v>
          </cell>
          <cell r="D519" t="str">
            <v>面食/谷类</v>
          </cell>
          <cell r="E519">
            <v>350</v>
          </cell>
        </row>
        <row r="520">
          <cell r="A520">
            <v>1996</v>
          </cell>
          <cell r="B520">
            <v>35137</v>
          </cell>
          <cell r="C520" t="str">
            <v>加拿大</v>
          </cell>
          <cell r="D520" t="str">
            <v>糖果</v>
          </cell>
          <cell r="E520">
            <v>339.99999761581421</v>
          </cell>
        </row>
        <row r="521">
          <cell r="A521">
            <v>1996</v>
          </cell>
          <cell r="B521">
            <v>35137</v>
          </cell>
          <cell r="C521" t="str">
            <v>加拿大</v>
          </cell>
          <cell r="D521" t="str">
            <v>肉/家禽</v>
          </cell>
          <cell r="E521">
            <v>202.63999857902527</v>
          </cell>
        </row>
        <row r="522">
          <cell r="A522">
            <v>1996</v>
          </cell>
          <cell r="B522">
            <v>35138</v>
          </cell>
          <cell r="C522" t="str">
            <v>加拿大</v>
          </cell>
          <cell r="D522" t="str">
            <v>饮料</v>
          </cell>
          <cell r="E522">
            <v>36</v>
          </cell>
        </row>
        <row r="523">
          <cell r="A523">
            <v>1996</v>
          </cell>
          <cell r="B523">
            <v>35138</v>
          </cell>
          <cell r="C523" t="str">
            <v>加拿大</v>
          </cell>
          <cell r="D523" t="str">
            <v>糖果</v>
          </cell>
          <cell r="E523">
            <v>379.99999970197678</v>
          </cell>
        </row>
        <row r="524">
          <cell r="A524">
            <v>1996</v>
          </cell>
          <cell r="B524">
            <v>35138</v>
          </cell>
          <cell r="C524" t="str">
            <v>加拿大</v>
          </cell>
          <cell r="D524" t="str">
            <v>面食/谷类</v>
          </cell>
          <cell r="E524">
            <v>758.09999940544367</v>
          </cell>
        </row>
        <row r="525">
          <cell r="A525">
            <v>1996</v>
          </cell>
          <cell r="B525">
            <v>35138</v>
          </cell>
          <cell r="C525" t="str">
            <v>加拿大</v>
          </cell>
          <cell r="D525" t="str">
            <v>香料</v>
          </cell>
          <cell r="E525">
            <v>239.96999981179832</v>
          </cell>
        </row>
        <row r="526">
          <cell r="A526">
            <v>1996</v>
          </cell>
          <cell r="B526">
            <v>35142</v>
          </cell>
          <cell r="C526" t="str">
            <v>加拿大</v>
          </cell>
          <cell r="D526" t="str">
            <v>乳制品</v>
          </cell>
          <cell r="E526">
            <v>840</v>
          </cell>
        </row>
        <row r="527">
          <cell r="A527">
            <v>1996</v>
          </cell>
          <cell r="B527">
            <v>35142</v>
          </cell>
          <cell r="C527" t="str">
            <v>加拿大</v>
          </cell>
          <cell r="D527" t="str">
            <v>饮料</v>
          </cell>
          <cell r="E527">
            <v>10540</v>
          </cell>
        </row>
        <row r="528">
          <cell r="A528">
            <v>1996</v>
          </cell>
          <cell r="B528">
            <v>35143</v>
          </cell>
          <cell r="C528" t="str">
            <v>美国</v>
          </cell>
          <cell r="D528" t="str">
            <v>海洋食品</v>
          </cell>
          <cell r="E528">
            <v>368.93249971065671</v>
          </cell>
        </row>
        <row r="529">
          <cell r="A529">
            <v>1996</v>
          </cell>
          <cell r="B529">
            <v>35144</v>
          </cell>
          <cell r="C529" t="str">
            <v>美国</v>
          </cell>
          <cell r="D529" t="str">
            <v>香料</v>
          </cell>
          <cell r="E529">
            <v>1200</v>
          </cell>
        </row>
        <row r="530">
          <cell r="A530">
            <v>1996</v>
          </cell>
          <cell r="B530">
            <v>35144</v>
          </cell>
          <cell r="C530" t="str">
            <v>美国</v>
          </cell>
          <cell r="D530" t="str">
            <v>饮料</v>
          </cell>
          <cell r="E530">
            <v>45</v>
          </cell>
        </row>
        <row r="531">
          <cell r="A531">
            <v>1996</v>
          </cell>
          <cell r="B531">
            <v>35144</v>
          </cell>
          <cell r="C531" t="str">
            <v>美国</v>
          </cell>
          <cell r="D531" t="str">
            <v>肉/家禽</v>
          </cell>
          <cell r="E531">
            <v>2970.96</v>
          </cell>
        </row>
        <row r="532">
          <cell r="A532">
            <v>1996</v>
          </cell>
          <cell r="B532">
            <v>35144</v>
          </cell>
          <cell r="C532" t="str">
            <v>美国</v>
          </cell>
          <cell r="D532" t="str">
            <v>海洋食品</v>
          </cell>
          <cell r="E532">
            <v>906.15</v>
          </cell>
        </row>
        <row r="533">
          <cell r="A533">
            <v>1996</v>
          </cell>
          <cell r="B533">
            <v>35144</v>
          </cell>
          <cell r="C533" t="str">
            <v>美国</v>
          </cell>
          <cell r="D533" t="str">
            <v>海洋食品</v>
          </cell>
          <cell r="E533">
            <v>380</v>
          </cell>
        </row>
        <row r="534">
          <cell r="A534">
            <v>1996</v>
          </cell>
          <cell r="B534">
            <v>35144</v>
          </cell>
          <cell r="C534" t="str">
            <v>加拿大</v>
          </cell>
          <cell r="D534" t="str">
            <v>海洋食品</v>
          </cell>
          <cell r="E534">
            <v>159.59999987483025</v>
          </cell>
        </row>
        <row r="535">
          <cell r="A535">
            <v>1996</v>
          </cell>
          <cell r="B535">
            <v>35144</v>
          </cell>
          <cell r="C535" t="str">
            <v>加拿大</v>
          </cell>
          <cell r="D535" t="str">
            <v>乳制品</v>
          </cell>
          <cell r="E535">
            <v>1709.9999986588955</v>
          </cell>
        </row>
        <row r="536">
          <cell r="A536">
            <v>1996</v>
          </cell>
          <cell r="B536">
            <v>35144</v>
          </cell>
          <cell r="C536" t="str">
            <v>加拿大</v>
          </cell>
          <cell r="D536" t="str">
            <v>饮料</v>
          </cell>
          <cell r="E536">
            <v>883.499999307096</v>
          </cell>
        </row>
        <row r="537">
          <cell r="A537">
            <v>1996</v>
          </cell>
          <cell r="B537">
            <v>35150</v>
          </cell>
          <cell r="C537" t="str">
            <v>加拿大</v>
          </cell>
          <cell r="D537" t="str">
            <v>海洋食品</v>
          </cell>
          <cell r="E537">
            <v>198.75</v>
          </cell>
        </row>
        <row r="538">
          <cell r="A538">
            <v>1996</v>
          </cell>
          <cell r="B538">
            <v>35150</v>
          </cell>
          <cell r="C538" t="str">
            <v>加拿大</v>
          </cell>
          <cell r="D538" t="str">
            <v>糖果</v>
          </cell>
          <cell r="E538">
            <v>1725.5</v>
          </cell>
        </row>
        <row r="539">
          <cell r="A539">
            <v>1996</v>
          </cell>
          <cell r="B539">
            <v>35159</v>
          </cell>
          <cell r="C539" t="str">
            <v>美国</v>
          </cell>
          <cell r="D539" t="str">
            <v>糖果</v>
          </cell>
          <cell r="E539">
            <v>600</v>
          </cell>
        </row>
        <row r="540">
          <cell r="A540">
            <v>1996</v>
          </cell>
          <cell r="B540">
            <v>35159</v>
          </cell>
          <cell r="C540" t="str">
            <v>美国</v>
          </cell>
          <cell r="D540" t="str">
            <v>饮料</v>
          </cell>
          <cell r="E540">
            <v>379.75</v>
          </cell>
        </row>
        <row r="541">
          <cell r="A541">
            <v>1996</v>
          </cell>
          <cell r="B541">
            <v>35159</v>
          </cell>
          <cell r="C541" t="str">
            <v>美国</v>
          </cell>
          <cell r="D541" t="str">
            <v>香料</v>
          </cell>
          <cell r="E541">
            <v>195</v>
          </cell>
        </row>
        <row r="542">
          <cell r="A542">
            <v>1996</v>
          </cell>
          <cell r="B542">
            <v>35163</v>
          </cell>
          <cell r="C542" t="str">
            <v>美国</v>
          </cell>
          <cell r="D542" t="str">
            <v>香料</v>
          </cell>
          <cell r="E542">
            <v>500</v>
          </cell>
        </row>
        <row r="543">
          <cell r="A543">
            <v>1996</v>
          </cell>
          <cell r="B543">
            <v>35163</v>
          </cell>
          <cell r="C543" t="str">
            <v>加拿大</v>
          </cell>
          <cell r="D543" t="str">
            <v>海洋食品</v>
          </cell>
          <cell r="E543">
            <v>455.99999830126762</v>
          </cell>
        </row>
        <row r="544">
          <cell r="A544">
            <v>1996</v>
          </cell>
          <cell r="B544">
            <v>35164</v>
          </cell>
          <cell r="C544" t="str">
            <v>美国</v>
          </cell>
          <cell r="D544" t="str">
            <v>海洋食品</v>
          </cell>
          <cell r="E544">
            <v>90</v>
          </cell>
        </row>
        <row r="545">
          <cell r="A545">
            <v>1996</v>
          </cell>
          <cell r="B545">
            <v>35164</v>
          </cell>
          <cell r="C545" t="str">
            <v>美国</v>
          </cell>
          <cell r="D545" t="str">
            <v>饮料</v>
          </cell>
          <cell r="E545">
            <v>828</v>
          </cell>
        </row>
        <row r="546">
          <cell r="A546">
            <v>1996</v>
          </cell>
          <cell r="B546">
            <v>35164</v>
          </cell>
          <cell r="C546" t="str">
            <v>美国</v>
          </cell>
          <cell r="D546" t="str">
            <v>乳制品</v>
          </cell>
          <cell r="E546">
            <v>1249.5</v>
          </cell>
        </row>
        <row r="547">
          <cell r="A547">
            <v>1996</v>
          </cell>
          <cell r="B547">
            <v>35164</v>
          </cell>
          <cell r="C547" t="str">
            <v>美国</v>
          </cell>
          <cell r="D547" t="str">
            <v>乳制品</v>
          </cell>
          <cell r="E547">
            <v>564.375</v>
          </cell>
        </row>
        <row r="548">
          <cell r="A548">
            <v>1996</v>
          </cell>
          <cell r="B548">
            <v>35165</v>
          </cell>
          <cell r="C548" t="str">
            <v>加拿大</v>
          </cell>
          <cell r="D548" t="str">
            <v>乳制品</v>
          </cell>
          <cell r="E548">
            <v>412.5</v>
          </cell>
        </row>
        <row r="549">
          <cell r="A549">
            <v>1996</v>
          </cell>
          <cell r="B549">
            <v>35165</v>
          </cell>
          <cell r="C549" t="str">
            <v>加拿大</v>
          </cell>
          <cell r="D549" t="str">
            <v>糖果</v>
          </cell>
          <cell r="E549">
            <v>1109.25</v>
          </cell>
        </row>
        <row r="550">
          <cell r="A550">
            <v>1996</v>
          </cell>
          <cell r="B550">
            <v>35165</v>
          </cell>
          <cell r="C550" t="str">
            <v>加拿大</v>
          </cell>
          <cell r="D550" t="str">
            <v>糖果</v>
          </cell>
          <cell r="E550">
            <v>750</v>
          </cell>
        </row>
        <row r="551">
          <cell r="A551">
            <v>1996</v>
          </cell>
          <cell r="B551">
            <v>35165</v>
          </cell>
          <cell r="C551" t="str">
            <v>加拿大</v>
          </cell>
          <cell r="D551" t="str">
            <v>乳制品</v>
          </cell>
          <cell r="E551">
            <v>1740</v>
          </cell>
        </row>
        <row r="552">
          <cell r="A552">
            <v>1996</v>
          </cell>
          <cell r="B552">
            <v>35166</v>
          </cell>
          <cell r="C552" t="str">
            <v>美国</v>
          </cell>
          <cell r="D552" t="str">
            <v>海洋食品</v>
          </cell>
          <cell r="E552">
            <v>120</v>
          </cell>
        </row>
        <row r="553">
          <cell r="A553">
            <v>1996</v>
          </cell>
          <cell r="B553">
            <v>35166</v>
          </cell>
          <cell r="C553" t="str">
            <v>美国</v>
          </cell>
          <cell r="D553" t="str">
            <v>乳制品</v>
          </cell>
          <cell r="E553">
            <v>125</v>
          </cell>
        </row>
        <row r="554">
          <cell r="A554">
            <v>1996</v>
          </cell>
          <cell r="B554">
            <v>35170</v>
          </cell>
          <cell r="C554" t="str">
            <v>美国</v>
          </cell>
          <cell r="D554" t="str">
            <v>香料</v>
          </cell>
          <cell r="E554">
            <v>379.99999970197678</v>
          </cell>
        </row>
        <row r="555">
          <cell r="A555">
            <v>1996</v>
          </cell>
          <cell r="B555">
            <v>35170</v>
          </cell>
          <cell r="C555" t="str">
            <v>美国</v>
          </cell>
          <cell r="D555" t="str">
            <v>农产品</v>
          </cell>
          <cell r="E555">
            <v>91.2</v>
          </cell>
        </row>
        <row r="556">
          <cell r="A556">
            <v>1996</v>
          </cell>
          <cell r="B556">
            <v>35171</v>
          </cell>
          <cell r="C556" t="str">
            <v>美国</v>
          </cell>
          <cell r="D556" t="str">
            <v>糖果</v>
          </cell>
          <cell r="E556">
            <v>120</v>
          </cell>
        </row>
        <row r="557">
          <cell r="A557">
            <v>1996</v>
          </cell>
          <cell r="B557">
            <v>35171</v>
          </cell>
          <cell r="C557" t="str">
            <v>美国</v>
          </cell>
          <cell r="D557" t="str">
            <v>糖果</v>
          </cell>
          <cell r="E557">
            <v>133</v>
          </cell>
        </row>
        <row r="558">
          <cell r="A558">
            <v>1996</v>
          </cell>
          <cell r="B558">
            <v>35171</v>
          </cell>
          <cell r="C558" t="str">
            <v>美国</v>
          </cell>
          <cell r="D558" t="str">
            <v>农产品</v>
          </cell>
          <cell r="E558">
            <v>424</v>
          </cell>
        </row>
        <row r="559">
          <cell r="A559">
            <v>1996</v>
          </cell>
          <cell r="B559">
            <v>35173</v>
          </cell>
          <cell r="C559" t="str">
            <v>美国</v>
          </cell>
          <cell r="D559" t="str">
            <v>农产品</v>
          </cell>
          <cell r="E559">
            <v>1350</v>
          </cell>
        </row>
        <row r="560">
          <cell r="A560">
            <v>1996</v>
          </cell>
          <cell r="B560">
            <v>35173</v>
          </cell>
          <cell r="C560" t="str">
            <v>美国</v>
          </cell>
          <cell r="D560" t="str">
            <v>海洋食品</v>
          </cell>
          <cell r="E560">
            <v>462</v>
          </cell>
        </row>
        <row r="561">
          <cell r="A561">
            <v>1996</v>
          </cell>
          <cell r="B561">
            <v>35173</v>
          </cell>
          <cell r="C561" t="str">
            <v>美国</v>
          </cell>
          <cell r="D561" t="str">
            <v>肉/家禽</v>
          </cell>
          <cell r="E561">
            <v>656</v>
          </cell>
        </row>
        <row r="562">
          <cell r="A562">
            <v>1996</v>
          </cell>
          <cell r="B562">
            <v>35173</v>
          </cell>
          <cell r="C562" t="str">
            <v>美国</v>
          </cell>
          <cell r="D562" t="str">
            <v>乳制品</v>
          </cell>
          <cell r="E562">
            <v>324</v>
          </cell>
        </row>
        <row r="563">
          <cell r="A563">
            <v>1996</v>
          </cell>
          <cell r="B563">
            <v>35173</v>
          </cell>
          <cell r="C563" t="str">
            <v>美国</v>
          </cell>
          <cell r="D563" t="str">
            <v>饮料</v>
          </cell>
          <cell r="E563">
            <v>792</v>
          </cell>
        </row>
        <row r="564">
          <cell r="A564">
            <v>1996</v>
          </cell>
          <cell r="B564">
            <v>35174</v>
          </cell>
          <cell r="C564" t="str">
            <v>加拿大</v>
          </cell>
          <cell r="D564" t="str">
            <v>农产品</v>
          </cell>
          <cell r="E564">
            <v>848</v>
          </cell>
        </row>
        <row r="565">
          <cell r="A565">
            <v>1996</v>
          </cell>
          <cell r="B565">
            <v>35177</v>
          </cell>
          <cell r="C565" t="str">
            <v>美国</v>
          </cell>
          <cell r="D565" t="str">
            <v>糖果</v>
          </cell>
          <cell r="E565">
            <v>110.4</v>
          </cell>
        </row>
        <row r="566">
          <cell r="A566">
            <v>1996</v>
          </cell>
          <cell r="B566">
            <v>35177</v>
          </cell>
          <cell r="C566" t="str">
            <v>美国</v>
          </cell>
          <cell r="D566" t="str">
            <v>糖果</v>
          </cell>
          <cell r="E566">
            <v>800</v>
          </cell>
        </row>
        <row r="567">
          <cell r="A567">
            <v>1996</v>
          </cell>
          <cell r="B567">
            <v>35179</v>
          </cell>
          <cell r="C567" t="str">
            <v>加拿大</v>
          </cell>
          <cell r="D567" t="str">
            <v>香料</v>
          </cell>
          <cell r="E567">
            <v>439</v>
          </cell>
        </row>
        <row r="568">
          <cell r="A568">
            <v>1996</v>
          </cell>
          <cell r="B568">
            <v>35181</v>
          </cell>
          <cell r="C568" t="str">
            <v>加拿大</v>
          </cell>
          <cell r="D568" t="str">
            <v>海洋食品</v>
          </cell>
          <cell r="E568">
            <v>428.3999969959259</v>
          </cell>
        </row>
        <row r="569">
          <cell r="A569">
            <v>1996</v>
          </cell>
          <cell r="B569">
            <v>35181</v>
          </cell>
          <cell r="C569" t="str">
            <v>加拿大</v>
          </cell>
          <cell r="D569" t="str">
            <v>面食/谷类</v>
          </cell>
          <cell r="E569">
            <v>292.5</v>
          </cell>
        </row>
        <row r="570">
          <cell r="A570">
            <v>1996</v>
          </cell>
          <cell r="B570">
            <v>35184</v>
          </cell>
          <cell r="C570" t="str">
            <v>加拿大</v>
          </cell>
          <cell r="D570" t="str">
            <v>糖果</v>
          </cell>
          <cell r="E570">
            <v>959.75</v>
          </cell>
        </row>
        <row r="571">
          <cell r="A571">
            <v>1996</v>
          </cell>
          <cell r="B571">
            <v>35184</v>
          </cell>
          <cell r="C571" t="str">
            <v>加拿大</v>
          </cell>
          <cell r="D571" t="str">
            <v>饮料</v>
          </cell>
          <cell r="E571">
            <v>90</v>
          </cell>
        </row>
        <row r="572">
          <cell r="A572">
            <v>1996</v>
          </cell>
          <cell r="B572">
            <v>35184</v>
          </cell>
          <cell r="C572" t="str">
            <v>加拿大</v>
          </cell>
          <cell r="D572" t="str">
            <v>海洋食品</v>
          </cell>
          <cell r="E572">
            <v>760</v>
          </cell>
        </row>
        <row r="573">
          <cell r="A573">
            <v>1996</v>
          </cell>
          <cell r="B573">
            <v>35185</v>
          </cell>
          <cell r="C573" t="str">
            <v>加拿大</v>
          </cell>
          <cell r="D573" t="str">
            <v>农产品</v>
          </cell>
          <cell r="E573">
            <v>1800</v>
          </cell>
        </row>
        <row r="574">
          <cell r="A574">
            <v>1996</v>
          </cell>
          <cell r="B574">
            <v>35185</v>
          </cell>
          <cell r="C574" t="str">
            <v>加拿大</v>
          </cell>
          <cell r="D574" t="str">
            <v>糖果</v>
          </cell>
          <cell r="E574">
            <v>1774.799997061491</v>
          </cell>
        </row>
        <row r="575">
          <cell r="A575">
            <v>1996</v>
          </cell>
          <cell r="B575">
            <v>35186</v>
          </cell>
          <cell r="C575" t="str">
            <v>美国</v>
          </cell>
          <cell r="D575" t="str">
            <v>饮料</v>
          </cell>
          <cell r="E575">
            <v>759.99999716877937</v>
          </cell>
        </row>
        <row r="576">
          <cell r="A576">
            <v>1996</v>
          </cell>
          <cell r="B576">
            <v>35186</v>
          </cell>
          <cell r="C576" t="str">
            <v>美国</v>
          </cell>
          <cell r="D576" t="str">
            <v>饮料</v>
          </cell>
          <cell r="E576">
            <v>239.99999910593033</v>
          </cell>
        </row>
        <row r="577">
          <cell r="A577">
            <v>1996</v>
          </cell>
          <cell r="B577">
            <v>35186</v>
          </cell>
          <cell r="C577" t="str">
            <v>美国</v>
          </cell>
          <cell r="D577" t="str">
            <v>饮料</v>
          </cell>
          <cell r="E577">
            <v>1295.9999951720238</v>
          </cell>
        </row>
        <row r="578">
          <cell r="A578">
            <v>1996</v>
          </cell>
          <cell r="B578">
            <v>35186</v>
          </cell>
          <cell r="C578" t="str">
            <v>加拿大</v>
          </cell>
          <cell r="D578" t="str">
            <v>乳制品</v>
          </cell>
          <cell r="E578">
            <v>69.599999999999994</v>
          </cell>
        </row>
        <row r="579">
          <cell r="A579">
            <v>1996</v>
          </cell>
          <cell r="B579">
            <v>35187</v>
          </cell>
          <cell r="C579" t="str">
            <v>美国</v>
          </cell>
          <cell r="D579" t="str">
            <v>面食/谷类</v>
          </cell>
          <cell r="E579">
            <v>560</v>
          </cell>
        </row>
        <row r="580">
          <cell r="A580">
            <v>1996</v>
          </cell>
          <cell r="B580">
            <v>35188</v>
          </cell>
          <cell r="C580" t="str">
            <v>美国</v>
          </cell>
          <cell r="D580" t="str">
            <v>海洋食品</v>
          </cell>
          <cell r="E580">
            <v>183.34999985620379</v>
          </cell>
        </row>
        <row r="581">
          <cell r="A581">
            <v>1996</v>
          </cell>
          <cell r="B581">
            <v>35188</v>
          </cell>
          <cell r="C581" t="str">
            <v>美国</v>
          </cell>
          <cell r="D581" t="str">
            <v>农产品</v>
          </cell>
          <cell r="E581">
            <v>755.24999940767884</v>
          </cell>
        </row>
        <row r="582">
          <cell r="A582">
            <v>1996</v>
          </cell>
          <cell r="B582">
            <v>35188</v>
          </cell>
          <cell r="C582" t="str">
            <v>美国</v>
          </cell>
          <cell r="D582" t="str">
            <v>香料</v>
          </cell>
          <cell r="E582">
            <v>259.34999979659915</v>
          </cell>
        </row>
        <row r="583">
          <cell r="A583">
            <v>1996</v>
          </cell>
          <cell r="B583">
            <v>35191</v>
          </cell>
          <cell r="C583" t="str">
            <v>加拿大</v>
          </cell>
          <cell r="D583" t="str">
            <v>香料</v>
          </cell>
          <cell r="E583">
            <v>412.5</v>
          </cell>
        </row>
        <row r="584">
          <cell r="A584">
            <v>1996</v>
          </cell>
          <cell r="B584">
            <v>35191</v>
          </cell>
          <cell r="C584" t="str">
            <v>加拿大</v>
          </cell>
          <cell r="D584" t="str">
            <v>饮料</v>
          </cell>
          <cell r="E584">
            <v>101.25</v>
          </cell>
        </row>
        <row r="585">
          <cell r="A585">
            <v>1996</v>
          </cell>
          <cell r="B585">
            <v>35191</v>
          </cell>
          <cell r="C585" t="str">
            <v>加拿大</v>
          </cell>
          <cell r="D585" t="str">
            <v>香料</v>
          </cell>
          <cell r="E585">
            <v>390</v>
          </cell>
        </row>
        <row r="586">
          <cell r="A586">
            <v>1996</v>
          </cell>
          <cell r="B586">
            <v>35191</v>
          </cell>
          <cell r="C586" t="str">
            <v>加拿大</v>
          </cell>
          <cell r="D586" t="str">
            <v>海洋食品</v>
          </cell>
          <cell r="E586">
            <v>336</v>
          </cell>
        </row>
        <row r="587">
          <cell r="A587">
            <v>1996</v>
          </cell>
          <cell r="B587">
            <v>35191</v>
          </cell>
          <cell r="C587" t="str">
            <v>加拿大</v>
          </cell>
          <cell r="D587" t="str">
            <v>饮料</v>
          </cell>
          <cell r="E587">
            <v>229.49999839067459</v>
          </cell>
        </row>
        <row r="588">
          <cell r="A588">
            <v>1996</v>
          </cell>
          <cell r="B588">
            <v>35191</v>
          </cell>
          <cell r="C588" t="str">
            <v>加拿大</v>
          </cell>
          <cell r="D588" t="str">
            <v>面食/谷类</v>
          </cell>
          <cell r="E588">
            <v>285.59999799728394</v>
          </cell>
        </row>
        <row r="589">
          <cell r="A589">
            <v>1996</v>
          </cell>
          <cell r="B589">
            <v>35191</v>
          </cell>
          <cell r="C589" t="str">
            <v>加拿大</v>
          </cell>
          <cell r="D589" t="str">
            <v>肉/家禽</v>
          </cell>
          <cell r="E589">
            <v>960</v>
          </cell>
        </row>
        <row r="590">
          <cell r="A590">
            <v>1996</v>
          </cell>
          <cell r="B590">
            <v>35191</v>
          </cell>
          <cell r="C590" t="str">
            <v>加拿大</v>
          </cell>
          <cell r="D590" t="str">
            <v>饮料</v>
          </cell>
          <cell r="E590">
            <v>72</v>
          </cell>
        </row>
        <row r="591">
          <cell r="A591">
            <v>1996</v>
          </cell>
          <cell r="B591">
            <v>35191</v>
          </cell>
          <cell r="C591" t="str">
            <v>加拿大</v>
          </cell>
          <cell r="D591" t="str">
            <v>海洋食品</v>
          </cell>
          <cell r="E591">
            <v>184</v>
          </cell>
        </row>
        <row r="592">
          <cell r="A592">
            <v>1996</v>
          </cell>
          <cell r="B592">
            <v>35191</v>
          </cell>
          <cell r="C592" t="str">
            <v>加拿大</v>
          </cell>
          <cell r="D592" t="str">
            <v>面食/谷类</v>
          </cell>
          <cell r="E592">
            <v>70</v>
          </cell>
        </row>
        <row r="593">
          <cell r="A593">
            <v>1996</v>
          </cell>
          <cell r="B593">
            <v>35192</v>
          </cell>
          <cell r="C593" t="str">
            <v>加拿大</v>
          </cell>
          <cell r="D593" t="str">
            <v>饮料</v>
          </cell>
          <cell r="E593">
            <v>144</v>
          </cell>
        </row>
        <row r="594">
          <cell r="A594">
            <v>1996</v>
          </cell>
          <cell r="B594">
            <v>35192</v>
          </cell>
          <cell r="C594" t="str">
            <v>加拿大</v>
          </cell>
          <cell r="D594" t="str">
            <v>肉/家禽</v>
          </cell>
          <cell r="E594">
            <v>185.685</v>
          </cell>
        </row>
        <row r="595">
          <cell r="A595">
            <v>1996</v>
          </cell>
          <cell r="B595">
            <v>35194</v>
          </cell>
          <cell r="C595" t="str">
            <v>美国</v>
          </cell>
          <cell r="D595" t="str">
            <v>糖果</v>
          </cell>
          <cell r="E595">
            <v>436.99999965727329</v>
          </cell>
        </row>
        <row r="596">
          <cell r="A596">
            <v>1996</v>
          </cell>
          <cell r="B596">
            <v>35194</v>
          </cell>
          <cell r="C596" t="str">
            <v>美国</v>
          </cell>
          <cell r="D596" t="str">
            <v>乳制品</v>
          </cell>
          <cell r="E596">
            <v>1162.7999990880489</v>
          </cell>
        </row>
        <row r="597">
          <cell r="A597">
            <v>1996</v>
          </cell>
          <cell r="B597">
            <v>35194</v>
          </cell>
          <cell r="C597" t="str">
            <v>美国</v>
          </cell>
          <cell r="D597" t="str">
            <v>乳制品</v>
          </cell>
          <cell r="E597">
            <v>1225.4999990388751</v>
          </cell>
        </row>
        <row r="598">
          <cell r="A598">
            <v>1996</v>
          </cell>
          <cell r="B598">
            <v>35198</v>
          </cell>
          <cell r="C598" t="str">
            <v>加拿大</v>
          </cell>
          <cell r="D598" t="str">
            <v>乳制品</v>
          </cell>
          <cell r="E598">
            <v>760</v>
          </cell>
        </row>
        <row r="599">
          <cell r="A599">
            <v>1996</v>
          </cell>
          <cell r="B599">
            <v>35198</v>
          </cell>
          <cell r="C599" t="str">
            <v>加拿大</v>
          </cell>
          <cell r="D599" t="str">
            <v>海洋食品</v>
          </cell>
          <cell r="E599">
            <v>625</v>
          </cell>
        </row>
        <row r="600">
          <cell r="A600">
            <v>1996</v>
          </cell>
          <cell r="B600">
            <v>35198</v>
          </cell>
          <cell r="C600" t="str">
            <v>加拿大</v>
          </cell>
          <cell r="D600" t="str">
            <v>面食/谷类</v>
          </cell>
          <cell r="E600">
            <v>190</v>
          </cell>
        </row>
        <row r="601">
          <cell r="A601">
            <v>1996</v>
          </cell>
          <cell r="B601">
            <v>35199</v>
          </cell>
          <cell r="C601" t="str">
            <v>美国</v>
          </cell>
          <cell r="D601" t="str">
            <v>海洋食品</v>
          </cell>
          <cell r="E601">
            <v>632.39999556541443</v>
          </cell>
        </row>
        <row r="602">
          <cell r="A602">
            <v>1996</v>
          </cell>
          <cell r="B602">
            <v>35199</v>
          </cell>
          <cell r="C602" t="str">
            <v>美国</v>
          </cell>
          <cell r="D602" t="str">
            <v>饮料</v>
          </cell>
          <cell r="E602">
            <v>156.75</v>
          </cell>
        </row>
        <row r="603">
          <cell r="A603">
            <v>1996</v>
          </cell>
          <cell r="B603">
            <v>35199</v>
          </cell>
          <cell r="C603" t="str">
            <v>美国</v>
          </cell>
          <cell r="D603" t="str">
            <v>糖果</v>
          </cell>
          <cell r="E603">
            <v>1215</v>
          </cell>
        </row>
        <row r="604">
          <cell r="A604">
            <v>1996</v>
          </cell>
          <cell r="B604">
            <v>35199</v>
          </cell>
          <cell r="C604" t="str">
            <v>美国</v>
          </cell>
          <cell r="D604" t="str">
            <v>糖果</v>
          </cell>
          <cell r="E604">
            <v>1967.49</v>
          </cell>
        </row>
        <row r="605">
          <cell r="A605">
            <v>1996</v>
          </cell>
          <cell r="B605">
            <v>35199</v>
          </cell>
          <cell r="C605" t="str">
            <v>美国</v>
          </cell>
          <cell r="D605" t="str">
            <v>农产品</v>
          </cell>
          <cell r="E605">
            <v>1749</v>
          </cell>
        </row>
        <row r="606">
          <cell r="A606">
            <v>1996</v>
          </cell>
          <cell r="B606">
            <v>35199</v>
          </cell>
          <cell r="C606" t="str">
            <v>美国</v>
          </cell>
          <cell r="D606" t="str">
            <v>乳制品</v>
          </cell>
          <cell r="E606">
            <v>1218</v>
          </cell>
        </row>
        <row r="607">
          <cell r="A607">
            <v>1996</v>
          </cell>
          <cell r="B607">
            <v>35201</v>
          </cell>
          <cell r="C607" t="str">
            <v>美国</v>
          </cell>
          <cell r="D607" t="str">
            <v>肉/家禽</v>
          </cell>
          <cell r="E607">
            <v>840</v>
          </cell>
        </row>
        <row r="608">
          <cell r="A608">
            <v>1996</v>
          </cell>
          <cell r="B608">
            <v>35201</v>
          </cell>
          <cell r="C608" t="str">
            <v>美国</v>
          </cell>
          <cell r="D608" t="str">
            <v>乳制品</v>
          </cell>
          <cell r="E608">
            <v>1320</v>
          </cell>
        </row>
        <row r="609">
          <cell r="A609">
            <v>1996</v>
          </cell>
          <cell r="B609">
            <v>35202</v>
          </cell>
          <cell r="C609" t="str">
            <v>加拿大</v>
          </cell>
          <cell r="D609" t="str">
            <v>饮料</v>
          </cell>
          <cell r="E609">
            <v>1425</v>
          </cell>
        </row>
        <row r="610">
          <cell r="A610">
            <v>1996</v>
          </cell>
          <cell r="B610">
            <v>35202</v>
          </cell>
          <cell r="C610" t="str">
            <v>加拿大</v>
          </cell>
          <cell r="D610" t="str">
            <v>香料</v>
          </cell>
          <cell r="E610">
            <v>1494.5</v>
          </cell>
        </row>
        <row r="611">
          <cell r="A611">
            <v>1996</v>
          </cell>
          <cell r="B611">
            <v>35202</v>
          </cell>
          <cell r="C611" t="str">
            <v>加拿大</v>
          </cell>
          <cell r="D611" t="str">
            <v>肉/家禽</v>
          </cell>
          <cell r="E611">
            <v>5570.55</v>
          </cell>
        </row>
        <row r="612">
          <cell r="A612">
            <v>1996</v>
          </cell>
          <cell r="B612">
            <v>35202</v>
          </cell>
          <cell r="C612" t="str">
            <v>加拿大</v>
          </cell>
          <cell r="D612" t="str">
            <v>乳制品</v>
          </cell>
          <cell r="E612">
            <v>4125</v>
          </cell>
        </row>
        <row r="613">
          <cell r="A613">
            <v>1996</v>
          </cell>
          <cell r="B613">
            <v>35202</v>
          </cell>
          <cell r="C613" t="str">
            <v>加拿大</v>
          </cell>
          <cell r="D613" t="str">
            <v>饮料</v>
          </cell>
          <cell r="E613">
            <v>810</v>
          </cell>
        </row>
        <row r="614">
          <cell r="A614">
            <v>1996</v>
          </cell>
          <cell r="B614">
            <v>35202</v>
          </cell>
          <cell r="C614" t="str">
            <v>加拿大</v>
          </cell>
          <cell r="D614" t="str">
            <v>海洋食品</v>
          </cell>
          <cell r="E614">
            <v>480</v>
          </cell>
        </row>
        <row r="615">
          <cell r="A615">
            <v>1996</v>
          </cell>
          <cell r="B615">
            <v>35202</v>
          </cell>
          <cell r="C615" t="str">
            <v>加拿大</v>
          </cell>
          <cell r="D615" t="str">
            <v>饮料</v>
          </cell>
          <cell r="E615">
            <v>94.5</v>
          </cell>
        </row>
        <row r="616">
          <cell r="A616">
            <v>1996</v>
          </cell>
          <cell r="B616">
            <v>35202</v>
          </cell>
          <cell r="C616" t="str">
            <v>加拿大</v>
          </cell>
          <cell r="D616" t="str">
            <v>面食/谷类</v>
          </cell>
          <cell r="E616">
            <v>665</v>
          </cell>
        </row>
        <row r="617">
          <cell r="A617">
            <v>1996</v>
          </cell>
          <cell r="B617">
            <v>35202</v>
          </cell>
          <cell r="C617" t="str">
            <v>加拿大</v>
          </cell>
          <cell r="D617" t="str">
            <v>乳制品</v>
          </cell>
          <cell r="E617">
            <v>344</v>
          </cell>
        </row>
        <row r="618">
          <cell r="A618">
            <v>1996</v>
          </cell>
          <cell r="B618">
            <v>35202</v>
          </cell>
          <cell r="C618" t="str">
            <v>加拿大</v>
          </cell>
          <cell r="D618" t="str">
            <v>海洋食品</v>
          </cell>
          <cell r="E618">
            <v>665</v>
          </cell>
        </row>
        <row r="619">
          <cell r="A619">
            <v>1996</v>
          </cell>
          <cell r="B619">
            <v>35202</v>
          </cell>
          <cell r="C619" t="str">
            <v>加拿大</v>
          </cell>
          <cell r="D619" t="str">
            <v>饮料</v>
          </cell>
          <cell r="E619">
            <v>6587.5</v>
          </cell>
        </row>
        <row r="620">
          <cell r="A620">
            <v>1996</v>
          </cell>
          <cell r="B620">
            <v>35202</v>
          </cell>
          <cell r="C620" t="str">
            <v>加拿大</v>
          </cell>
          <cell r="D620" t="str">
            <v>乳制品</v>
          </cell>
          <cell r="E620">
            <v>1650</v>
          </cell>
        </row>
        <row r="621">
          <cell r="A621">
            <v>1996</v>
          </cell>
          <cell r="B621">
            <v>35205</v>
          </cell>
          <cell r="C621" t="str">
            <v>加拿大</v>
          </cell>
          <cell r="D621" t="str">
            <v>糖果</v>
          </cell>
          <cell r="E621">
            <v>134.99999977648258</v>
          </cell>
        </row>
        <row r="622">
          <cell r="A622">
            <v>1996</v>
          </cell>
          <cell r="B622">
            <v>35205</v>
          </cell>
          <cell r="C622" t="str">
            <v>加拿大</v>
          </cell>
          <cell r="D622" t="str">
            <v>香料</v>
          </cell>
          <cell r="E622">
            <v>233.4</v>
          </cell>
        </row>
        <row r="623">
          <cell r="A623">
            <v>1996</v>
          </cell>
          <cell r="B623">
            <v>35205</v>
          </cell>
          <cell r="C623" t="str">
            <v>加拿大</v>
          </cell>
          <cell r="D623" t="str">
            <v>香料</v>
          </cell>
          <cell r="E623">
            <v>171</v>
          </cell>
        </row>
        <row r="624">
          <cell r="A624">
            <v>1996</v>
          </cell>
          <cell r="B624">
            <v>35205</v>
          </cell>
          <cell r="C624" t="str">
            <v>美国</v>
          </cell>
          <cell r="D624" t="str">
            <v>海洋食品</v>
          </cell>
          <cell r="E624">
            <v>42</v>
          </cell>
        </row>
        <row r="625">
          <cell r="A625">
            <v>1996</v>
          </cell>
          <cell r="B625">
            <v>35205</v>
          </cell>
          <cell r="C625" t="str">
            <v>美国</v>
          </cell>
          <cell r="D625" t="str">
            <v>乳制品</v>
          </cell>
          <cell r="E625">
            <v>1650</v>
          </cell>
        </row>
        <row r="626">
          <cell r="A626">
            <v>1996</v>
          </cell>
          <cell r="B626">
            <v>35207</v>
          </cell>
          <cell r="C626" t="str">
            <v>加拿大</v>
          </cell>
          <cell r="D626" t="str">
            <v>糖果</v>
          </cell>
          <cell r="E626">
            <v>200</v>
          </cell>
        </row>
        <row r="627">
          <cell r="A627">
            <v>1996</v>
          </cell>
          <cell r="B627">
            <v>35208</v>
          </cell>
          <cell r="C627" t="str">
            <v>美国</v>
          </cell>
          <cell r="D627" t="str">
            <v>乳制品</v>
          </cell>
          <cell r="E627">
            <v>721.99999943375587</v>
          </cell>
        </row>
        <row r="628">
          <cell r="A628">
            <v>1996</v>
          </cell>
          <cell r="B628">
            <v>35208</v>
          </cell>
          <cell r="C628" t="str">
            <v>美国</v>
          </cell>
          <cell r="D628" t="str">
            <v>乳制品</v>
          </cell>
          <cell r="E628">
            <v>455.99999964237213</v>
          </cell>
        </row>
        <row r="629">
          <cell r="A629">
            <v>1996</v>
          </cell>
          <cell r="B629">
            <v>35208</v>
          </cell>
          <cell r="C629" t="str">
            <v>美国</v>
          </cell>
          <cell r="D629" t="str">
            <v>饮料</v>
          </cell>
          <cell r="E629">
            <v>307.79999975860119</v>
          </cell>
        </row>
        <row r="630">
          <cell r="A630">
            <v>1996</v>
          </cell>
          <cell r="B630">
            <v>35214</v>
          </cell>
          <cell r="C630" t="str">
            <v>美国</v>
          </cell>
          <cell r="D630" t="str">
            <v>糖果</v>
          </cell>
          <cell r="E630">
            <v>30</v>
          </cell>
        </row>
        <row r="631">
          <cell r="A631">
            <v>1996</v>
          </cell>
          <cell r="B631">
            <v>35214</v>
          </cell>
          <cell r="C631" t="str">
            <v>美国</v>
          </cell>
          <cell r="D631" t="str">
            <v>乳制品</v>
          </cell>
          <cell r="E631">
            <v>714</v>
          </cell>
        </row>
        <row r="632">
          <cell r="A632">
            <v>1996</v>
          </cell>
          <cell r="B632">
            <v>35214</v>
          </cell>
          <cell r="C632" t="str">
            <v>美国</v>
          </cell>
          <cell r="D632" t="str">
            <v>香料</v>
          </cell>
          <cell r="E632">
            <v>114</v>
          </cell>
        </row>
        <row r="633">
          <cell r="A633">
            <v>1996</v>
          </cell>
          <cell r="B633">
            <v>35215</v>
          </cell>
          <cell r="C633" t="str">
            <v>加拿大</v>
          </cell>
          <cell r="D633" t="str">
            <v>乳制品</v>
          </cell>
          <cell r="E633">
            <v>510</v>
          </cell>
        </row>
        <row r="634">
          <cell r="A634">
            <v>1996</v>
          </cell>
          <cell r="B634">
            <v>35216</v>
          </cell>
          <cell r="C634" t="str">
            <v>加拿大</v>
          </cell>
          <cell r="D634" t="str">
            <v>肉/家禽</v>
          </cell>
          <cell r="E634">
            <v>2702.6999955251813</v>
          </cell>
        </row>
        <row r="635">
          <cell r="A635">
            <v>1996</v>
          </cell>
          <cell r="B635">
            <v>35216</v>
          </cell>
          <cell r="C635" t="str">
            <v>加拿大</v>
          </cell>
          <cell r="D635" t="str">
            <v>海洋食品</v>
          </cell>
          <cell r="E635">
            <v>115.8</v>
          </cell>
        </row>
        <row r="636">
          <cell r="A636">
            <v>1996</v>
          </cell>
          <cell r="B636">
            <v>35216</v>
          </cell>
          <cell r="C636" t="str">
            <v>加拿大</v>
          </cell>
          <cell r="D636" t="str">
            <v>肉/家禽</v>
          </cell>
          <cell r="E636">
            <v>737.99999877810478</v>
          </cell>
        </row>
        <row r="637">
          <cell r="A637">
            <v>1996</v>
          </cell>
          <cell r="B637">
            <v>35216</v>
          </cell>
          <cell r="C637" t="str">
            <v>加拿大</v>
          </cell>
          <cell r="D637" t="str">
            <v>肉/家禽</v>
          </cell>
          <cell r="E637">
            <v>86.399999856948853</v>
          </cell>
        </row>
        <row r="638">
          <cell r="A638">
            <v>1996</v>
          </cell>
          <cell r="B638">
            <v>35216</v>
          </cell>
          <cell r="C638" t="str">
            <v>加拿大</v>
          </cell>
          <cell r="D638" t="str">
            <v>糖果</v>
          </cell>
          <cell r="E638">
            <v>687.5</v>
          </cell>
        </row>
        <row r="639">
          <cell r="A639">
            <v>1996</v>
          </cell>
          <cell r="B639">
            <v>35216</v>
          </cell>
          <cell r="C639" t="str">
            <v>加拿大</v>
          </cell>
          <cell r="D639" t="str">
            <v>糖果</v>
          </cell>
          <cell r="E639">
            <v>52.35</v>
          </cell>
        </row>
        <row r="640">
          <cell r="A640">
            <v>1996</v>
          </cell>
          <cell r="B640">
            <v>35216</v>
          </cell>
          <cell r="C640" t="str">
            <v>加拿大</v>
          </cell>
          <cell r="D640" t="str">
            <v>糖果</v>
          </cell>
          <cell r="E640">
            <v>386.4</v>
          </cell>
        </row>
        <row r="641">
          <cell r="A641">
            <v>1996</v>
          </cell>
          <cell r="B641">
            <v>35216</v>
          </cell>
          <cell r="C641" t="str">
            <v>加拿大</v>
          </cell>
          <cell r="D641" t="str">
            <v>饮料</v>
          </cell>
          <cell r="E641">
            <v>490</v>
          </cell>
        </row>
        <row r="642">
          <cell r="A642">
            <v>1996</v>
          </cell>
          <cell r="B642">
            <v>35219</v>
          </cell>
          <cell r="C642" t="str">
            <v>美国</v>
          </cell>
          <cell r="D642" t="str">
            <v>海洋食品</v>
          </cell>
          <cell r="E642">
            <v>86.85</v>
          </cell>
        </row>
        <row r="643">
          <cell r="A643">
            <v>1996</v>
          </cell>
          <cell r="B643">
            <v>35220</v>
          </cell>
          <cell r="C643" t="str">
            <v>美国</v>
          </cell>
          <cell r="D643" t="str">
            <v>饮料</v>
          </cell>
          <cell r="E643">
            <v>611.99999570846558</v>
          </cell>
        </row>
        <row r="644">
          <cell r="A644">
            <v>1996</v>
          </cell>
          <cell r="B644">
            <v>35220</v>
          </cell>
          <cell r="C644" t="str">
            <v>美国</v>
          </cell>
          <cell r="D644" t="str">
            <v>饮料</v>
          </cell>
          <cell r="E644">
            <v>322.9999977350235</v>
          </cell>
        </row>
        <row r="645">
          <cell r="A645">
            <v>1996</v>
          </cell>
          <cell r="B645">
            <v>35220</v>
          </cell>
          <cell r="C645" t="str">
            <v>美国</v>
          </cell>
          <cell r="D645" t="str">
            <v>糖果</v>
          </cell>
          <cell r="E645">
            <v>444.97499687969685</v>
          </cell>
        </row>
        <row r="646">
          <cell r="A646">
            <v>1996</v>
          </cell>
          <cell r="B646">
            <v>35220</v>
          </cell>
          <cell r="C646" t="str">
            <v>美国</v>
          </cell>
          <cell r="D646" t="str">
            <v>乳制品</v>
          </cell>
          <cell r="E646">
            <v>250</v>
          </cell>
        </row>
        <row r="647">
          <cell r="A647">
            <v>1996</v>
          </cell>
          <cell r="B647">
            <v>35221</v>
          </cell>
          <cell r="C647" t="str">
            <v>加拿大</v>
          </cell>
          <cell r="D647" t="str">
            <v>饮料</v>
          </cell>
          <cell r="E647">
            <v>364.7999986410141</v>
          </cell>
        </row>
        <row r="648">
          <cell r="A648">
            <v>1996</v>
          </cell>
          <cell r="B648">
            <v>35221</v>
          </cell>
          <cell r="C648" t="str">
            <v>加拿大</v>
          </cell>
          <cell r="D648" t="str">
            <v>香料</v>
          </cell>
          <cell r="E648">
            <v>40</v>
          </cell>
        </row>
        <row r="649">
          <cell r="A649">
            <v>1996</v>
          </cell>
          <cell r="B649">
            <v>35221</v>
          </cell>
          <cell r="C649" t="str">
            <v>加拿大</v>
          </cell>
          <cell r="D649" t="str">
            <v>香料</v>
          </cell>
          <cell r="E649">
            <v>22</v>
          </cell>
        </row>
        <row r="650">
          <cell r="A650">
            <v>1996</v>
          </cell>
          <cell r="B650">
            <v>35221</v>
          </cell>
          <cell r="C650" t="str">
            <v>加拿大</v>
          </cell>
          <cell r="D650" t="str">
            <v>香料</v>
          </cell>
          <cell r="E650">
            <v>24.500000011175871</v>
          </cell>
        </row>
        <row r="651">
          <cell r="A651">
            <v>1996</v>
          </cell>
          <cell r="B651">
            <v>35221</v>
          </cell>
          <cell r="C651" t="str">
            <v>加拿大</v>
          </cell>
          <cell r="D651" t="str">
            <v>农产品</v>
          </cell>
          <cell r="E651">
            <v>28.499999977648258</v>
          </cell>
        </row>
        <row r="652">
          <cell r="A652">
            <v>1996</v>
          </cell>
          <cell r="B652">
            <v>35221</v>
          </cell>
          <cell r="C652" t="str">
            <v>加拿大</v>
          </cell>
          <cell r="D652" t="str">
            <v>香料</v>
          </cell>
          <cell r="E652">
            <v>71.99999988079071</v>
          </cell>
        </row>
        <row r="653">
          <cell r="A653">
            <v>1996</v>
          </cell>
          <cell r="B653">
            <v>35221</v>
          </cell>
          <cell r="C653" t="str">
            <v>加拿大</v>
          </cell>
          <cell r="D653" t="str">
            <v>海洋食品</v>
          </cell>
          <cell r="E653">
            <v>31</v>
          </cell>
        </row>
        <row r="654">
          <cell r="A654">
            <v>1996</v>
          </cell>
          <cell r="B654">
            <v>35221</v>
          </cell>
          <cell r="C654" t="str">
            <v>加拿大</v>
          </cell>
          <cell r="D654" t="str">
            <v>乳制品</v>
          </cell>
          <cell r="E654">
            <v>72.199999943375587</v>
          </cell>
        </row>
        <row r="655">
          <cell r="A655">
            <v>1996</v>
          </cell>
          <cell r="B655">
            <v>35221</v>
          </cell>
          <cell r="C655" t="str">
            <v>加拿大</v>
          </cell>
          <cell r="D655" t="str">
            <v>海洋食品</v>
          </cell>
          <cell r="E655">
            <v>24</v>
          </cell>
        </row>
        <row r="656">
          <cell r="A656">
            <v>1996</v>
          </cell>
          <cell r="B656">
            <v>35221</v>
          </cell>
          <cell r="C656" t="str">
            <v>加拿大</v>
          </cell>
          <cell r="D656" t="str">
            <v>农产品</v>
          </cell>
          <cell r="E656">
            <v>22.55250001559034</v>
          </cell>
        </row>
        <row r="657">
          <cell r="A657">
            <v>1996</v>
          </cell>
          <cell r="B657">
            <v>35221</v>
          </cell>
          <cell r="C657" t="str">
            <v>加拿大</v>
          </cell>
          <cell r="D657" t="str">
            <v>糖果</v>
          </cell>
          <cell r="E657">
            <v>33.853000023402274</v>
          </cell>
        </row>
        <row r="658">
          <cell r="A658">
            <v>1996</v>
          </cell>
          <cell r="B658">
            <v>35221</v>
          </cell>
          <cell r="C658" t="str">
            <v>加拿大</v>
          </cell>
          <cell r="D658" t="str">
            <v>糖果</v>
          </cell>
          <cell r="E658">
            <v>77.760000072419643</v>
          </cell>
        </row>
        <row r="659">
          <cell r="A659">
            <v>1996</v>
          </cell>
          <cell r="B659">
            <v>35221</v>
          </cell>
          <cell r="C659" t="str">
            <v>加拿大</v>
          </cell>
          <cell r="D659" t="str">
            <v>面食/谷类</v>
          </cell>
          <cell r="E659">
            <v>18</v>
          </cell>
        </row>
        <row r="660">
          <cell r="A660">
            <v>1996</v>
          </cell>
          <cell r="B660">
            <v>35221</v>
          </cell>
          <cell r="C660" t="str">
            <v>加拿大</v>
          </cell>
          <cell r="D660" t="str">
            <v>乳制品</v>
          </cell>
          <cell r="E660">
            <v>32</v>
          </cell>
        </row>
        <row r="661">
          <cell r="A661">
            <v>1996</v>
          </cell>
          <cell r="B661">
            <v>35221</v>
          </cell>
          <cell r="C661" t="str">
            <v>加拿大</v>
          </cell>
          <cell r="D661" t="str">
            <v>饮料</v>
          </cell>
          <cell r="E661">
            <v>34.19999997317791</v>
          </cell>
        </row>
        <row r="662">
          <cell r="A662">
            <v>1996</v>
          </cell>
          <cell r="B662">
            <v>35221</v>
          </cell>
          <cell r="C662" t="str">
            <v>加拿大</v>
          </cell>
          <cell r="D662" t="str">
            <v>海洋食品</v>
          </cell>
          <cell r="E662">
            <v>28.95</v>
          </cell>
        </row>
        <row r="663">
          <cell r="A663">
            <v>1996</v>
          </cell>
          <cell r="B663">
            <v>35221</v>
          </cell>
          <cell r="C663" t="str">
            <v>加拿大</v>
          </cell>
          <cell r="D663" t="str">
            <v>海洋食品</v>
          </cell>
          <cell r="E663">
            <v>35.280000016093254</v>
          </cell>
        </row>
        <row r="664">
          <cell r="A664">
            <v>1996</v>
          </cell>
          <cell r="B664">
            <v>35221</v>
          </cell>
          <cell r="C664" t="str">
            <v>加拿大</v>
          </cell>
          <cell r="D664" t="str">
            <v>面食/谷类</v>
          </cell>
          <cell r="E664">
            <v>14</v>
          </cell>
        </row>
        <row r="665">
          <cell r="A665">
            <v>1996</v>
          </cell>
          <cell r="B665">
            <v>35221</v>
          </cell>
          <cell r="C665" t="str">
            <v>加拿大</v>
          </cell>
          <cell r="D665" t="str">
            <v>肉/家禽</v>
          </cell>
          <cell r="E665">
            <v>48</v>
          </cell>
        </row>
        <row r="666">
          <cell r="A666">
            <v>1996</v>
          </cell>
          <cell r="B666">
            <v>35221</v>
          </cell>
          <cell r="C666" t="str">
            <v>加拿大</v>
          </cell>
          <cell r="D666" t="str">
            <v>乳制品</v>
          </cell>
          <cell r="E666">
            <v>63.920000091195107</v>
          </cell>
        </row>
        <row r="667">
          <cell r="A667">
            <v>1996</v>
          </cell>
          <cell r="B667">
            <v>35221</v>
          </cell>
          <cell r="C667" t="str">
            <v>加拿大</v>
          </cell>
          <cell r="D667" t="str">
            <v>面食/谷类</v>
          </cell>
          <cell r="E667">
            <v>64.505000044591725</v>
          </cell>
        </row>
        <row r="668">
          <cell r="A668">
            <v>1996</v>
          </cell>
          <cell r="B668">
            <v>35221</v>
          </cell>
          <cell r="C668" t="str">
            <v>加拿大</v>
          </cell>
          <cell r="D668" t="str">
            <v>香料</v>
          </cell>
          <cell r="E668">
            <v>17</v>
          </cell>
        </row>
        <row r="669">
          <cell r="A669">
            <v>1996</v>
          </cell>
          <cell r="B669">
            <v>35221</v>
          </cell>
          <cell r="C669" t="str">
            <v>加拿大</v>
          </cell>
          <cell r="D669" t="str">
            <v>海洋食品</v>
          </cell>
          <cell r="E669">
            <v>29.700000006705523</v>
          </cell>
        </row>
        <row r="670">
          <cell r="A670">
            <v>1996</v>
          </cell>
          <cell r="B670">
            <v>35221</v>
          </cell>
          <cell r="C670" t="str">
            <v>加拿大</v>
          </cell>
          <cell r="D670" t="str">
            <v>饮料</v>
          </cell>
          <cell r="E670">
            <v>31</v>
          </cell>
        </row>
        <row r="671">
          <cell r="A671">
            <v>1996</v>
          </cell>
          <cell r="B671">
            <v>35221</v>
          </cell>
          <cell r="C671" t="str">
            <v>加拿大</v>
          </cell>
          <cell r="D671" t="str">
            <v>香料</v>
          </cell>
          <cell r="E671">
            <v>26</v>
          </cell>
        </row>
      </sheetData>
      <sheetData sheetId="7">
        <row r="3">
          <cell r="K3">
            <v>100</v>
          </cell>
          <cell r="L3">
            <v>283500</v>
          </cell>
        </row>
        <row r="4">
          <cell r="K4">
            <v>120</v>
          </cell>
          <cell r="L4">
            <v>279200</v>
          </cell>
        </row>
        <row r="5">
          <cell r="K5">
            <v>140</v>
          </cell>
          <cell r="L5">
            <v>276328.57142857142</v>
          </cell>
        </row>
        <row r="6">
          <cell r="K6">
            <v>160</v>
          </cell>
          <cell r="L6">
            <v>274350</v>
          </cell>
        </row>
        <row r="7">
          <cell r="K7">
            <v>180</v>
          </cell>
          <cell r="L7">
            <v>272966.66666666669</v>
          </cell>
        </row>
        <row r="8">
          <cell r="K8">
            <v>200</v>
          </cell>
          <cell r="L8">
            <v>272000</v>
          </cell>
        </row>
        <row r="9">
          <cell r="K9">
            <v>220</v>
          </cell>
          <cell r="L9">
            <v>271336.36363636365</v>
          </cell>
        </row>
        <row r="10">
          <cell r="K10">
            <v>240</v>
          </cell>
          <cell r="L10">
            <v>270900</v>
          </cell>
        </row>
        <row r="11">
          <cell r="K11">
            <v>260</v>
          </cell>
          <cell r="L11">
            <v>270638.4615384615</v>
          </cell>
        </row>
        <row r="12">
          <cell r="K12">
            <v>280</v>
          </cell>
          <cell r="L12">
            <v>270514.28571428568</v>
          </cell>
        </row>
        <row r="13">
          <cell r="K13">
            <v>300</v>
          </cell>
          <cell r="L13">
            <v>270500</v>
          </cell>
        </row>
        <row r="14">
          <cell r="K14">
            <v>320</v>
          </cell>
          <cell r="L14">
            <v>270575</v>
          </cell>
        </row>
        <row r="15">
          <cell r="K15">
            <v>340</v>
          </cell>
          <cell r="L15">
            <v>270723.5294117647</v>
          </cell>
        </row>
        <row r="16">
          <cell r="K16">
            <v>360</v>
          </cell>
          <cell r="L16">
            <v>270933.33333333337</v>
          </cell>
        </row>
        <row r="17">
          <cell r="K17">
            <v>380</v>
          </cell>
          <cell r="L17">
            <v>271194.73684210528</v>
          </cell>
        </row>
        <row r="18">
          <cell r="K18">
            <v>400</v>
          </cell>
          <cell r="L18">
            <v>271500</v>
          </cell>
        </row>
        <row r="19">
          <cell r="K19">
            <v>599.99990000000003</v>
          </cell>
          <cell r="L19">
            <v>275999.99733333348</v>
          </cell>
        </row>
        <row r="20">
          <cell r="K20">
            <v>600</v>
          </cell>
          <cell r="L20">
            <v>271000</v>
          </cell>
        </row>
        <row r="21">
          <cell r="K21">
            <v>999.99</v>
          </cell>
          <cell r="L21">
            <v>282999.6800003</v>
          </cell>
        </row>
      </sheetData>
      <sheetData sheetId="8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第2题"/>
      <sheetName val="第3题"/>
      <sheetName val="第4题"/>
      <sheetName val="第5题"/>
      <sheetName val="第6题"/>
      <sheetName val="第7题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透视表题1"/>
      <sheetName val="透视表题2"/>
      <sheetName val="D函数2"/>
      <sheetName val="D函数第2题透视表"/>
      <sheetName val="D函数2答案"/>
      <sheetName val="D函数1"/>
      <sheetName val="D函数1答案"/>
    </sheetNames>
    <sheetDataSet>
      <sheetData sheetId="0"/>
      <sheetData sheetId="1"/>
      <sheetData sheetId="2">
        <row r="1">
          <cell r="A1" t="str">
            <v>订购日期</v>
          </cell>
          <cell r="B1" t="str">
            <v>货主国家</v>
          </cell>
          <cell r="C1" t="str">
            <v>类别名称</v>
          </cell>
          <cell r="D1" t="str">
            <v>销售额</v>
          </cell>
        </row>
        <row r="2">
          <cell r="A2">
            <v>34551</v>
          </cell>
          <cell r="B2" t="str">
            <v>英国</v>
          </cell>
          <cell r="C2" t="str">
            <v>农产品</v>
          </cell>
          <cell r="D2">
            <v>167.4</v>
          </cell>
        </row>
        <row r="3">
          <cell r="A3">
            <v>34551</v>
          </cell>
          <cell r="B3" t="str">
            <v>英国</v>
          </cell>
          <cell r="C3" t="str">
            <v>农产品</v>
          </cell>
          <cell r="D3">
            <v>1696</v>
          </cell>
        </row>
        <row r="4">
          <cell r="A4">
            <v>34565</v>
          </cell>
          <cell r="B4" t="str">
            <v>英国</v>
          </cell>
          <cell r="C4" t="str">
            <v>海洋食品</v>
          </cell>
          <cell r="D4">
            <v>92.4</v>
          </cell>
        </row>
        <row r="5">
          <cell r="A5">
            <v>34565</v>
          </cell>
          <cell r="B5" t="str">
            <v>英国</v>
          </cell>
          <cell r="C5" t="str">
            <v>面食/谷类</v>
          </cell>
          <cell r="D5">
            <v>780</v>
          </cell>
        </row>
        <row r="6">
          <cell r="A6">
            <v>34565</v>
          </cell>
          <cell r="B6" t="str">
            <v>英国</v>
          </cell>
          <cell r="C6" t="str">
            <v>糖果</v>
          </cell>
          <cell r="D6">
            <v>443.25</v>
          </cell>
        </row>
        <row r="7">
          <cell r="A7">
            <v>34565</v>
          </cell>
          <cell r="B7" t="str">
            <v>英国</v>
          </cell>
          <cell r="C7" t="str">
            <v>饮料</v>
          </cell>
          <cell r="D7">
            <v>189</v>
          </cell>
        </row>
        <row r="8">
          <cell r="A8">
            <v>34568</v>
          </cell>
          <cell r="B8" t="str">
            <v>法国</v>
          </cell>
          <cell r="C8" t="str">
            <v>香料</v>
          </cell>
          <cell r="D8">
            <v>163.19999939203262</v>
          </cell>
        </row>
        <row r="9">
          <cell r="A9">
            <v>34568</v>
          </cell>
          <cell r="B9" t="str">
            <v>法国</v>
          </cell>
          <cell r="C9" t="str">
            <v>农产品</v>
          </cell>
          <cell r="D9">
            <v>360</v>
          </cell>
        </row>
        <row r="10">
          <cell r="A10">
            <v>34568</v>
          </cell>
          <cell r="B10" t="str">
            <v>法国</v>
          </cell>
          <cell r="C10" t="str">
            <v>面食/谷类</v>
          </cell>
          <cell r="D10">
            <v>60.8</v>
          </cell>
        </row>
        <row r="11">
          <cell r="A11">
            <v>34575</v>
          </cell>
          <cell r="B11" t="str">
            <v>英国</v>
          </cell>
          <cell r="C11" t="str">
            <v>海洋食品</v>
          </cell>
          <cell r="D11">
            <v>735</v>
          </cell>
        </row>
        <row r="12">
          <cell r="A12">
            <v>34575</v>
          </cell>
          <cell r="B12" t="str">
            <v>英国</v>
          </cell>
          <cell r="C12" t="str">
            <v>乳制品</v>
          </cell>
          <cell r="D12">
            <v>2617.9999816417694</v>
          </cell>
        </row>
        <row r="13">
          <cell r="A13">
            <v>34575</v>
          </cell>
          <cell r="B13" t="str">
            <v>英国</v>
          </cell>
          <cell r="C13" t="str">
            <v>饮料</v>
          </cell>
          <cell r="D13">
            <v>183.59999871253967</v>
          </cell>
        </row>
        <row r="14">
          <cell r="A14">
            <v>34577</v>
          </cell>
          <cell r="B14" t="str">
            <v>法国</v>
          </cell>
          <cell r="C14" t="str">
            <v>乳制品</v>
          </cell>
          <cell r="D14">
            <v>113.99999991059303</v>
          </cell>
        </row>
        <row r="15">
          <cell r="A15">
            <v>34577</v>
          </cell>
          <cell r="B15" t="str">
            <v>法国</v>
          </cell>
          <cell r="C15" t="str">
            <v>乳制品</v>
          </cell>
          <cell r="D15">
            <v>528.19999958574772</v>
          </cell>
        </row>
        <row r="16">
          <cell r="A16">
            <v>34578</v>
          </cell>
          <cell r="B16" t="str">
            <v>法国</v>
          </cell>
          <cell r="C16" t="str">
            <v>乳制品</v>
          </cell>
          <cell r="D16">
            <v>48</v>
          </cell>
        </row>
        <row r="17">
          <cell r="A17">
            <v>34579</v>
          </cell>
          <cell r="B17" t="str">
            <v>法国</v>
          </cell>
          <cell r="C17" t="str">
            <v>糖果</v>
          </cell>
          <cell r="D17">
            <v>388.8</v>
          </cell>
        </row>
        <row r="18">
          <cell r="A18">
            <v>34579</v>
          </cell>
          <cell r="B18" t="str">
            <v>法国</v>
          </cell>
          <cell r="C18" t="str">
            <v>乳制品</v>
          </cell>
          <cell r="D18">
            <v>400</v>
          </cell>
        </row>
        <row r="19">
          <cell r="A19">
            <v>34579</v>
          </cell>
          <cell r="B19" t="str">
            <v>法国</v>
          </cell>
          <cell r="C19" t="str">
            <v>乳制品</v>
          </cell>
          <cell r="D19">
            <v>667.2</v>
          </cell>
        </row>
        <row r="20">
          <cell r="A20">
            <v>34582</v>
          </cell>
          <cell r="B20" t="str">
            <v>英国</v>
          </cell>
          <cell r="C20" t="str">
            <v>海洋食品</v>
          </cell>
          <cell r="D20">
            <v>565.43999955654147</v>
          </cell>
        </row>
        <row r="21">
          <cell r="A21">
            <v>34582</v>
          </cell>
          <cell r="B21" t="str">
            <v>英国</v>
          </cell>
          <cell r="C21" t="str">
            <v>乳制品</v>
          </cell>
          <cell r="D21">
            <v>142.49999988824129</v>
          </cell>
        </row>
        <row r="22">
          <cell r="A22">
            <v>34582</v>
          </cell>
          <cell r="B22" t="str">
            <v>英国</v>
          </cell>
          <cell r="C22" t="str">
            <v>乳制品</v>
          </cell>
          <cell r="D22">
            <v>40</v>
          </cell>
        </row>
        <row r="23">
          <cell r="A23">
            <v>34582</v>
          </cell>
          <cell r="B23" t="str">
            <v>英国</v>
          </cell>
          <cell r="C23" t="str">
            <v>海洋食品</v>
          </cell>
          <cell r="D23">
            <v>837.89999934285879</v>
          </cell>
        </row>
        <row r="24">
          <cell r="A24">
            <v>34582</v>
          </cell>
          <cell r="B24" t="str">
            <v>英国</v>
          </cell>
          <cell r="C24" t="str">
            <v>饮料</v>
          </cell>
          <cell r="D24">
            <v>451.43999964594838</v>
          </cell>
        </row>
        <row r="25">
          <cell r="A25">
            <v>34586</v>
          </cell>
          <cell r="B25" t="str">
            <v>英国</v>
          </cell>
          <cell r="C25" t="str">
            <v>农产品</v>
          </cell>
          <cell r="D25">
            <v>728</v>
          </cell>
        </row>
        <row r="26">
          <cell r="A26">
            <v>34586</v>
          </cell>
          <cell r="B26" t="str">
            <v>英国</v>
          </cell>
          <cell r="C26" t="str">
            <v>糖果</v>
          </cell>
          <cell r="D26">
            <v>472.8</v>
          </cell>
        </row>
        <row r="27">
          <cell r="A27">
            <v>34590</v>
          </cell>
          <cell r="B27" t="str">
            <v>英国</v>
          </cell>
          <cell r="C27" t="str">
            <v>肉/家禽</v>
          </cell>
          <cell r="D27">
            <v>351</v>
          </cell>
        </row>
        <row r="28">
          <cell r="A28">
            <v>34596</v>
          </cell>
          <cell r="B28" t="str">
            <v>英国</v>
          </cell>
          <cell r="C28" t="str">
            <v>糖果</v>
          </cell>
          <cell r="D28">
            <v>394.875</v>
          </cell>
        </row>
        <row r="29">
          <cell r="A29">
            <v>34596</v>
          </cell>
          <cell r="B29" t="str">
            <v>英国</v>
          </cell>
          <cell r="C29" t="str">
            <v>香料</v>
          </cell>
          <cell r="D29">
            <v>325.5</v>
          </cell>
        </row>
        <row r="30">
          <cell r="A30">
            <v>34596</v>
          </cell>
          <cell r="B30" t="str">
            <v>英国</v>
          </cell>
          <cell r="C30" t="str">
            <v>乳制品</v>
          </cell>
          <cell r="D30">
            <v>408</v>
          </cell>
        </row>
        <row r="31">
          <cell r="A31">
            <v>34596</v>
          </cell>
          <cell r="B31" t="str">
            <v>英国</v>
          </cell>
          <cell r="C31" t="str">
            <v>饮料</v>
          </cell>
          <cell r="D31">
            <v>42</v>
          </cell>
        </row>
        <row r="32">
          <cell r="A32">
            <v>34597</v>
          </cell>
          <cell r="B32" t="str">
            <v>英国</v>
          </cell>
          <cell r="C32" t="str">
            <v>饮料</v>
          </cell>
          <cell r="D32">
            <v>518.39999806880951</v>
          </cell>
        </row>
        <row r="33">
          <cell r="A33">
            <v>34597</v>
          </cell>
          <cell r="B33" t="str">
            <v>英国</v>
          </cell>
          <cell r="C33" t="str">
            <v>海洋食品</v>
          </cell>
          <cell r="D33">
            <v>470.39999824762344</v>
          </cell>
        </row>
        <row r="34">
          <cell r="A34">
            <v>34597</v>
          </cell>
          <cell r="B34" t="str">
            <v>英国</v>
          </cell>
          <cell r="C34" t="str">
            <v>肉/家禽</v>
          </cell>
          <cell r="D34">
            <v>754.55999718904502</v>
          </cell>
        </row>
        <row r="35">
          <cell r="A35">
            <v>34598</v>
          </cell>
          <cell r="B35" t="str">
            <v>英国</v>
          </cell>
          <cell r="C35" t="str">
            <v>饮料</v>
          </cell>
          <cell r="D35">
            <v>1440</v>
          </cell>
        </row>
        <row r="36">
          <cell r="A36">
            <v>34598</v>
          </cell>
          <cell r="B36" t="str">
            <v>英国</v>
          </cell>
          <cell r="C36" t="str">
            <v>糖果</v>
          </cell>
          <cell r="D36">
            <v>1576</v>
          </cell>
        </row>
        <row r="37">
          <cell r="A37">
            <v>34607</v>
          </cell>
          <cell r="B37" t="str">
            <v>法国</v>
          </cell>
          <cell r="C37" t="str">
            <v>饮料</v>
          </cell>
          <cell r="D37">
            <v>259.2</v>
          </cell>
        </row>
        <row r="38">
          <cell r="A38">
            <v>34607</v>
          </cell>
          <cell r="B38" t="str">
            <v>法国</v>
          </cell>
          <cell r="C38" t="str">
            <v>肉/家禽</v>
          </cell>
          <cell r="D38">
            <v>468</v>
          </cell>
        </row>
        <row r="39">
          <cell r="A39">
            <v>34607</v>
          </cell>
          <cell r="B39" t="str">
            <v>法国</v>
          </cell>
          <cell r="C39" t="str">
            <v>饮料</v>
          </cell>
          <cell r="D39">
            <v>552</v>
          </cell>
        </row>
        <row r="40">
          <cell r="A40">
            <v>34607</v>
          </cell>
          <cell r="B40" t="str">
            <v>法国</v>
          </cell>
          <cell r="C40" t="str">
            <v>乳制品</v>
          </cell>
          <cell r="D40">
            <v>571.20000000000005</v>
          </cell>
        </row>
        <row r="41">
          <cell r="A41">
            <v>34607</v>
          </cell>
          <cell r="B41" t="str">
            <v>法国</v>
          </cell>
          <cell r="C41" t="str">
            <v>饮料</v>
          </cell>
          <cell r="D41">
            <v>37.200000000000003</v>
          </cell>
        </row>
        <row r="42">
          <cell r="A42">
            <v>34617</v>
          </cell>
          <cell r="B42" t="str">
            <v>英国</v>
          </cell>
          <cell r="C42" t="str">
            <v>海洋食品</v>
          </cell>
          <cell r="D42">
            <v>147</v>
          </cell>
        </row>
        <row r="43">
          <cell r="A43">
            <v>34617</v>
          </cell>
          <cell r="B43" t="str">
            <v>英国</v>
          </cell>
          <cell r="C43" t="str">
            <v>面食/谷类</v>
          </cell>
          <cell r="D43">
            <v>608</v>
          </cell>
        </row>
        <row r="44">
          <cell r="A44">
            <v>34621</v>
          </cell>
          <cell r="B44" t="str">
            <v>法国</v>
          </cell>
          <cell r="C44" t="str">
            <v>海洋食品</v>
          </cell>
          <cell r="D44">
            <v>1124.9999981373549</v>
          </cell>
        </row>
        <row r="45">
          <cell r="A45">
            <v>34621</v>
          </cell>
          <cell r="B45" t="str">
            <v>法国</v>
          </cell>
          <cell r="C45" t="str">
            <v>肉/家禽</v>
          </cell>
          <cell r="D45">
            <v>2227.4999963119626</v>
          </cell>
        </row>
        <row r="46">
          <cell r="A46">
            <v>34621</v>
          </cell>
          <cell r="B46" t="str">
            <v>法国</v>
          </cell>
          <cell r="C46" t="str">
            <v>饮料</v>
          </cell>
          <cell r="D46">
            <v>388.79999935626984</v>
          </cell>
        </row>
        <row r="47">
          <cell r="A47">
            <v>34625</v>
          </cell>
          <cell r="B47" t="str">
            <v>法国</v>
          </cell>
          <cell r="C47" t="str">
            <v>糖果</v>
          </cell>
          <cell r="D47">
            <v>394</v>
          </cell>
        </row>
        <row r="48">
          <cell r="A48">
            <v>34625</v>
          </cell>
          <cell r="B48" t="str">
            <v>法国</v>
          </cell>
          <cell r="C48" t="str">
            <v>糖果</v>
          </cell>
          <cell r="D48">
            <v>30</v>
          </cell>
        </row>
        <row r="49">
          <cell r="A49">
            <v>34628</v>
          </cell>
          <cell r="B49" t="str">
            <v>法国</v>
          </cell>
          <cell r="C49" t="str">
            <v>糖果</v>
          </cell>
          <cell r="D49">
            <v>139</v>
          </cell>
        </row>
        <row r="50">
          <cell r="A50">
            <v>34628</v>
          </cell>
          <cell r="B50" t="str">
            <v>法国</v>
          </cell>
          <cell r="C50" t="str">
            <v>糖果</v>
          </cell>
          <cell r="D50">
            <v>197</v>
          </cell>
        </row>
        <row r="51">
          <cell r="A51">
            <v>34631</v>
          </cell>
          <cell r="B51" t="str">
            <v>英国</v>
          </cell>
          <cell r="C51" t="str">
            <v>农产品</v>
          </cell>
          <cell r="D51">
            <v>145.6</v>
          </cell>
        </row>
        <row r="52">
          <cell r="A52">
            <v>34631</v>
          </cell>
          <cell r="B52" t="str">
            <v>英国</v>
          </cell>
          <cell r="C52" t="str">
            <v>饮料</v>
          </cell>
          <cell r="D52">
            <v>883.2</v>
          </cell>
        </row>
        <row r="53">
          <cell r="A53">
            <v>34631</v>
          </cell>
          <cell r="B53" t="str">
            <v>英国</v>
          </cell>
          <cell r="C53" t="str">
            <v>肉/家禽</v>
          </cell>
          <cell r="D53">
            <v>524</v>
          </cell>
        </row>
        <row r="54">
          <cell r="A54">
            <v>34631</v>
          </cell>
          <cell r="B54" t="str">
            <v>英国</v>
          </cell>
          <cell r="C54" t="str">
            <v>饮料</v>
          </cell>
          <cell r="D54">
            <v>62</v>
          </cell>
        </row>
        <row r="55">
          <cell r="A55">
            <v>34632</v>
          </cell>
          <cell r="B55" t="str">
            <v>英国</v>
          </cell>
          <cell r="C55" t="str">
            <v>海洋食品</v>
          </cell>
          <cell r="D55">
            <v>182.4</v>
          </cell>
        </row>
        <row r="56">
          <cell r="A56">
            <v>34633</v>
          </cell>
          <cell r="B56" t="str">
            <v>法国</v>
          </cell>
          <cell r="C56" t="str">
            <v>乳制品</v>
          </cell>
          <cell r="D56">
            <v>921.59999847412109</v>
          </cell>
        </row>
        <row r="57">
          <cell r="A57">
            <v>34633</v>
          </cell>
          <cell r="B57" t="str">
            <v>法国</v>
          </cell>
          <cell r="C57" t="str">
            <v>海洋食品</v>
          </cell>
          <cell r="D57">
            <v>286.19999952614307</v>
          </cell>
        </row>
        <row r="58">
          <cell r="A58">
            <v>34633</v>
          </cell>
          <cell r="B58" t="str">
            <v>法国</v>
          </cell>
          <cell r="C58" t="str">
            <v>糖果</v>
          </cell>
          <cell r="D58">
            <v>886.49999853223562</v>
          </cell>
        </row>
        <row r="59">
          <cell r="A59">
            <v>34635</v>
          </cell>
          <cell r="B59" t="str">
            <v>法国</v>
          </cell>
          <cell r="C59" t="str">
            <v>海洋食品</v>
          </cell>
          <cell r="D59">
            <v>77</v>
          </cell>
        </row>
        <row r="60">
          <cell r="A60">
            <v>34635</v>
          </cell>
          <cell r="B60" t="str">
            <v>法国</v>
          </cell>
          <cell r="C60" t="str">
            <v>糖果</v>
          </cell>
          <cell r="D60">
            <v>2758</v>
          </cell>
        </row>
        <row r="61">
          <cell r="A61">
            <v>34638</v>
          </cell>
          <cell r="B61" t="str">
            <v>法国</v>
          </cell>
          <cell r="C61" t="str">
            <v>饮料</v>
          </cell>
          <cell r="D61">
            <v>288</v>
          </cell>
        </row>
        <row r="62">
          <cell r="A62">
            <v>34645</v>
          </cell>
          <cell r="B62" t="str">
            <v>英国</v>
          </cell>
          <cell r="C62" t="str">
            <v>香料</v>
          </cell>
          <cell r="D62">
            <v>62</v>
          </cell>
        </row>
        <row r="63">
          <cell r="A63">
            <v>34645</v>
          </cell>
          <cell r="B63" t="str">
            <v>英国</v>
          </cell>
          <cell r="C63" t="str">
            <v>糖果</v>
          </cell>
          <cell r="D63">
            <v>44.8</v>
          </cell>
        </row>
        <row r="64">
          <cell r="A64">
            <v>34645</v>
          </cell>
          <cell r="B64" t="str">
            <v>英国</v>
          </cell>
          <cell r="C64" t="str">
            <v>饮料</v>
          </cell>
          <cell r="D64">
            <v>57.6</v>
          </cell>
        </row>
        <row r="65">
          <cell r="A65">
            <v>34646</v>
          </cell>
          <cell r="B65" t="str">
            <v>法国</v>
          </cell>
          <cell r="C65" t="str">
            <v>糖果</v>
          </cell>
          <cell r="D65">
            <v>248.1149982601404</v>
          </cell>
        </row>
        <row r="66">
          <cell r="A66">
            <v>34646</v>
          </cell>
          <cell r="B66" t="str">
            <v>法国</v>
          </cell>
          <cell r="C66" t="str">
            <v>饮料</v>
          </cell>
          <cell r="D66">
            <v>856.79999399185181</v>
          </cell>
        </row>
        <row r="67">
          <cell r="A67">
            <v>34646</v>
          </cell>
          <cell r="B67" t="str">
            <v>法国</v>
          </cell>
          <cell r="C67" t="str">
            <v>海洋食品</v>
          </cell>
          <cell r="D67">
            <v>288</v>
          </cell>
        </row>
        <row r="68">
          <cell r="A68">
            <v>34646</v>
          </cell>
          <cell r="B68" t="str">
            <v>法国</v>
          </cell>
          <cell r="C68" t="str">
            <v>乳制品</v>
          </cell>
          <cell r="D68">
            <v>1495.9999895095825</v>
          </cell>
        </row>
        <row r="69">
          <cell r="A69">
            <v>34646</v>
          </cell>
          <cell r="B69" t="str">
            <v>法国</v>
          </cell>
          <cell r="C69" t="str">
            <v>香料</v>
          </cell>
          <cell r="D69">
            <v>2386.7999832630157</v>
          </cell>
        </row>
        <row r="70">
          <cell r="A70">
            <v>34647</v>
          </cell>
          <cell r="B70" t="str">
            <v>英国</v>
          </cell>
          <cell r="C70" t="str">
            <v>香料</v>
          </cell>
          <cell r="D70">
            <v>120</v>
          </cell>
        </row>
        <row r="71">
          <cell r="A71">
            <v>34647</v>
          </cell>
          <cell r="B71" t="str">
            <v>英国</v>
          </cell>
          <cell r="C71" t="str">
            <v>海洋食品</v>
          </cell>
          <cell r="D71">
            <v>57.6</v>
          </cell>
        </row>
        <row r="72">
          <cell r="A72">
            <v>34647</v>
          </cell>
          <cell r="B72" t="str">
            <v>英国</v>
          </cell>
          <cell r="C72" t="str">
            <v>农产品</v>
          </cell>
          <cell r="D72">
            <v>167.4</v>
          </cell>
        </row>
        <row r="73">
          <cell r="A73">
            <v>34647</v>
          </cell>
          <cell r="B73" t="str">
            <v>英国</v>
          </cell>
          <cell r="C73" t="str">
            <v>乳制品</v>
          </cell>
          <cell r="D73">
            <v>40</v>
          </cell>
        </row>
        <row r="74">
          <cell r="A74">
            <v>34647</v>
          </cell>
          <cell r="B74" t="str">
            <v>英国</v>
          </cell>
          <cell r="C74" t="str">
            <v>乳制品</v>
          </cell>
          <cell r="D74">
            <v>1112</v>
          </cell>
        </row>
        <row r="75">
          <cell r="A75">
            <v>34653</v>
          </cell>
          <cell r="B75" t="str">
            <v>法国</v>
          </cell>
          <cell r="C75" t="str">
            <v>糖果</v>
          </cell>
          <cell r="D75">
            <v>69.349999945610762</v>
          </cell>
        </row>
        <row r="76">
          <cell r="A76">
            <v>34653</v>
          </cell>
          <cell r="B76" t="str">
            <v>法国</v>
          </cell>
          <cell r="C76" t="str">
            <v>海洋食品</v>
          </cell>
          <cell r="D76">
            <v>157.31999987661837</v>
          </cell>
        </row>
        <row r="77">
          <cell r="A77">
            <v>34653</v>
          </cell>
          <cell r="B77" t="str">
            <v>法国</v>
          </cell>
          <cell r="C77" t="str">
            <v>饮料</v>
          </cell>
          <cell r="D77">
            <v>4005.1999968588352</v>
          </cell>
        </row>
        <row r="78">
          <cell r="A78">
            <v>34653</v>
          </cell>
          <cell r="B78" t="str">
            <v>法国</v>
          </cell>
          <cell r="C78" t="str">
            <v>面食/谷类</v>
          </cell>
          <cell r="D78">
            <v>346.55999972820285</v>
          </cell>
        </row>
        <row r="79">
          <cell r="A79">
            <v>34662</v>
          </cell>
          <cell r="B79" t="str">
            <v>英国</v>
          </cell>
          <cell r="C79" t="str">
            <v>面食/谷类</v>
          </cell>
          <cell r="D79">
            <v>288</v>
          </cell>
        </row>
        <row r="80">
          <cell r="A80">
            <v>34662</v>
          </cell>
          <cell r="B80" t="str">
            <v>英国</v>
          </cell>
          <cell r="C80" t="str">
            <v>糖果</v>
          </cell>
          <cell r="D80">
            <v>597.6</v>
          </cell>
        </row>
        <row r="81">
          <cell r="A81">
            <v>34662</v>
          </cell>
          <cell r="B81" t="str">
            <v>英国</v>
          </cell>
          <cell r="C81" t="str">
            <v>海洋食品</v>
          </cell>
          <cell r="D81">
            <v>304</v>
          </cell>
        </row>
        <row r="82">
          <cell r="A82">
            <v>34662</v>
          </cell>
          <cell r="B82" t="str">
            <v>英国</v>
          </cell>
          <cell r="C82" t="str">
            <v>海洋食品</v>
          </cell>
          <cell r="D82">
            <v>582.4</v>
          </cell>
        </row>
        <row r="83">
          <cell r="A83">
            <v>34662</v>
          </cell>
          <cell r="B83" t="str">
            <v>英国</v>
          </cell>
          <cell r="C83" t="str">
            <v>乳制品</v>
          </cell>
          <cell r="D83">
            <v>695</v>
          </cell>
        </row>
        <row r="84">
          <cell r="A84">
            <v>34663</v>
          </cell>
          <cell r="B84" t="str">
            <v>法国</v>
          </cell>
          <cell r="C84" t="str">
            <v>肉/家禽</v>
          </cell>
          <cell r="D84">
            <v>624</v>
          </cell>
        </row>
        <row r="85">
          <cell r="A85">
            <v>34663</v>
          </cell>
          <cell r="B85" t="str">
            <v>法国</v>
          </cell>
          <cell r="C85" t="str">
            <v>海洋食品</v>
          </cell>
          <cell r="D85">
            <v>310.5</v>
          </cell>
        </row>
        <row r="86">
          <cell r="A86">
            <v>34668</v>
          </cell>
          <cell r="B86" t="str">
            <v>英国</v>
          </cell>
          <cell r="C86" t="str">
            <v>饮料</v>
          </cell>
          <cell r="D86">
            <v>291.83999891281127</v>
          </cell>
        </row>
        <row r="87">
          <cell r="A87">
            <v>34668</v>
          </cell>
          <cell r="B87" t="str">
            <v>英国</v>
          </cell>
          <cell r="C87" t="str">
            <v>乳制品</v>
          </cell>
          <cell r="D87">
            <v>447.99999833106995</v>
          </cell>
        </row>
        <row r="88">
          <cell r="A88">
            <v>34668</v>
          </cell>
          <cell r="B88" t="str">
            <v>英国</v>
          </cell>
          <cell r="C88" t="str">
            <v>海洋食品</v>
          </cell>
          <cell r="D88">
            <v>486.3999981880188</v>
          </cell>
        </row>
        <row r="89">
          <cell r="A89">
            <v>34668</v>
          </cell>
          <cell r="B89" t="str">
            <v>英国</v>
          </cell>
          <cell r="C89" t="str">
            <v>肉/家禽</v>
          </cell>
          <cell r="D89">
            <v>614.39999771118164</v>
          </cell>
        </row>
        <row r="90">
          <cell r="A90">
            <v>34669</v>
          </cell>
          <cell r="B90" t="str">
            <v>英国</v>
          </cell>
          <cell r="C90" t="str">
            <v>面食/谷类</v>
          </cell>
          <cell r="D90">
            <v>1330</v>
          </cell>
        </row>
        <row r="91">
          <cell r="A91">
            <v>34669</v>
          </cell>
          <cell r="B91" t="str">
            <v>英国</v>
          </cell>
          <cell r="C91" t="str">
            <v>糖果</v>
          </cell>
          <cell r="D91">
            <v>37.999999970197678</v>
          </cell>
        </row>
        <row r="92">
          <cell r="A92">
            <v>34669</v>
          </cell>
          <cell r="B92" t="str">
            <v>英国</v>
          </cell>
          <cell r="C92" t="str">
            <v>饮料</v>
          </cell>
          <cell r="D92">
            <v>216</v>
          </cell>
        </row>
        <row r="93">
          <cell r="A93">
            <v>34670</v>
          </cell>
          <cell r="B93" t="str">
            <v>法国</v>
          </cell>
          <cell r="C93" t="str">
            <v>香料</v>
          </cell>
          <cell r="D93">
            <v>616</v>
          </cell>
        </row>
        <row r="94">
          <cell r="A94">
            <v>34670</v>
          </cell>
          <cell r="B94" t="str">
            <v>法国</v>
          </cell>
          <cell r="C94" t="str">
            <v>香料</v>
          </cell>
          <cell r="D94">
            <v>1680</v>
          </cell>
        </row>
        <row r="95">
          <cell r="A95">
            <v>34673</v>
          </cell>
          <cell r="B95" t="str">
            <v>英国</v>
          </cell>
          <cell r="C95" t="str">
            <v>香料</v>
          </cell>
          <cell r="D95">
            <v>2240</v>
          </cell>
        </row>
        <row r="96">
          <cell r="A96">
            <v>34673</v>
          </cell>
          <cell r="B96" t="str">
            <v>英国</v>
          </cell>
          <cell r="C96" t="str">
            <v>糖果</v>
          </cell>
          <cell r="D96">
            <v>584</v>
          </cell>
        </row>
        <row r="97">
          <cell r="A97">
            <v>34673</v>
          </cell>
          <cell r="B97" t="str">
            <v>英国</v>
          </cell>
          <cell r="C97" t="str">
            <v>面食/谷类</v>
          </cell>
          <cell r="D97">
            <v>100.8</v>
          </cell>
        </row>
        <row r="98">
          <cell r="A98">
            <v>34674</v>
          </cell>
          <cell r="B98" t="str">
            <v>法国</v>
          </cell>
          <cell r="C98" t="str">
            <v>肉/家禽</v>
          </cell>
          <cell r="D98">
            <v>1010.8799983263016</v>
          </cell>
        </row>
        <row r="99">
          <cell r="A99">
            <v>34674</v>
          </cell>
          <cell r="B99" t="str">
            <v>法国</v>
          </cell>
          <cell r="C99" t="str">
            <v>面食/谷类</v>
          </cell>
          <cell r="D99">
            <v>608</v>
          </cell>
        </row>
        <row r="100">
          <cell r="A100">
            <v>34676</v>
          </cell>
          <cell r="B100" t="str">
            <v>英国</v>
          </cell>
          <cell r="C100" t="str">
            <v>饮料</v>
          </cell>
          <cell r="D100">
            <v>183.59999871253967</v>
          </cell>
        </row>
        <row r="101">
          <cell r="A101">
            <v>34676</v>
          </cell>
          <cell r="B101" t="str">
            <v>英国</v>
          </cell>
          <cell r="C101" t="str">
            <v>面食/谷类</v>
          </cell>
          <cell r="D101">
            <v>180</v>
          </cell>
        </row>
        <row r="102">
          <cell r="A102">
            <v>34677</v>
          </cell>
          <cell r="B102" t="str">
            <v>法国</v>
          </cell>
          <cell r="C102" t="str">
            <v>肉/家禽</v>
          </cell>
          <cell r="D102">
            <v>141.6</v>
          </cell>
        </row>
        <row r="103">
          <cell r="A103">
            <v>34687</v>
          </cell>
          <cell r="B103" t="str">
            <v>英国</v>
          </cell>
          <cell r="C103" t="str">
            <v>乳制品</v>
          </cell>
          <cell r="D103">
            <v>300</v>
          </cell>
        </row>
        <row r="104">
          <cell r="A104">
            <v>34687</v>
          </cell>
          <cell r="B104" t="str">
            <v>英国</v>
          </cell>
          <cell r="C104" t="str">
            <v>肉/家禽</v>
          </cell>
          <cell r="D104">
            <v>230.4</v>
          </cell>
        </row>
        <row r="105">
          <cell r="A105">
            <v>34687</v>
          </cell>
          <cell r="B105" t="str">
            <v>英国</v>
          </cell>
          <cell r="C105" t="str">
            <v>乳制品</v>
          </cell>
          <cell r="D105">
            <v>576</v>
          </cell>
        </row>
        <row r="106">
          <cell r="A106">
            <v>34691</v>
          </cell>
          <cell r="B106" t="str">
            <v>英国</v>
          </cell>
          <cell r="C106" t="str">
            <v>饮料</v>
          </cell>
          <cell r="D106">
            <v>699.83999884128571</v>
          </cell>
        </row>
        <row r="107">
          <cell r="A107">
            <v>34691</v>
          </cell>
          <cell r="B107" t="str">
            <v>英国</v>
          </cell>
          <cell r="C107" t="str">
            <v>乳制品</v>
          </cell>
          <cell r="D107">
            <v>1346.3999977707863</v>
          </cell>
        </row>
        <row r="108">
          <cell r="A108">
            <v>34695</v>
          </cell>
          <cell r="B108" t="str">
            <v>英国</v>
          </cell>
          <cell r="C108" t="str">
            <v>乳制品</v>
          </cell>
          <cell r="D108">
            <v>200</v>
          </cell>
        </row>
        <row r="109">
          <cell r="A109">
            <v>34695</v>
          </cell>
          <cell r="B109" t="str">
            <v>英国</v>
          </cell>
          <cell r="C109" t="str">
            <v>饮料</v>
          </cell>
          <cell r="D109">
            <v>74.400000000000006</v>
          </cell>
        </row>
        <row r="110">
          <cell r="A110">
            <v>34695</v>
          </cell>
          <cell r="B110" t="str">
            <v>英国</v>
          </cell>
          <cell r="C110" t="str">
            <v>饮料</v>
          </cell>
          <cell r="D110">
            <v>172.8</v>
          </cell>
        </row>
        <row r="111">
          <cell r="A111">
            <v>34701</v>
          </cell>
          <cell r="B111" t="str">
            <v>法国</v>
          </cell>
          <cell r="C111" t="str">
            <v>肉/家禽</v>
          </cell>
          <cell r="D111">
            <v>1980</v>
          </cell>
        </row>
        <row r="112">
          <cell r="A112">
            <v>34701</v>
          </cell>
          <cell r="B112" t="str">
            <v>法国</v>
          </cell>
          <cell r="C112" t="str">
            <v>面食/谷类</v>
          </cell>
          <cell r="D112">
            <v>410.4</v>
          </cell>
        </row>
        <row r="113">
          <cell r="A113">
            <v>34705</v>
          </cell>
          <cell r="B113" t="str">
            <v>法国</v>
          </cell>
          <cell r="C113" t="str">
            <v>农产品</v>
          </cell>
          <cell r="D113">
            <v>279</v>
          </cell>
        </row>
        <row r="114">
          <cell r="A114">
            <v>34705</v>
          </cell>
          <cell r="B114" t="str">
            <v>法国</v>
          </cell>
          <cell r="C114" t="str">
            <v>肉/家禽</v>
          </cell>
          <cell r="D114">
            <v>59</v>
          </cell>
        </row>
        <row r="115">
          <cell r="A115">
            <v>34716</v>
          </cell>
          <cell r="B115" t="str">
            <v>法国</v>
          </cell>
          <cell r="C115" t="str">
            <v>农产品</v>
          </cell>
          <cell r="D115">
            <v>191.99999928474426</v>
          </cell>
        </row>
        <row r="116">
          <cell r="A116">
            <v>34716</v>
          </cell>
          <cell r="B116" t="str">
            <v>法国</v>
          </cell>
          <cell r="C116" t="str">
            <v>乳制品</v>
          </cell>
          <cell r="D116">
            <v>435.19999837875366</v>
          </cell>
        </row>
        <row r="117">
          <cell r="A117">
            <v>34716</v>
          </cell>
          <cell r="B117" t="str">
            <v>法国</v>
          </cell>
          <cell r="C117" t="str">
            <v>糖果</v>
          </cell>
          <cell r="D117">
            <v>63.999999761581421</v>
          </cell>
        </row>
        <row r="118">
          <cell r="A118">
            <v>34722</v>
          </cell>
          <cell r="B118" t="str">
            <v>英国</v>
          </cell>
          <cell r="C118" t="str">
            <v>海洋食品</v>
          </cell>
          <cell r="D118">
            <v>86.4</v>
          </cell>
        </row>
        <row r="119">
          <cell r="A119">
            <v>34724</v>
          </cell>
          <cell r="B119" t="str">
            <v>法国</v>
          </cell>
          <cell r="C119" t="str">
            <v>饮料</v>
          </cell>
          <cell r="D119">
            <v>285</v>
          </cell>
        </row>
        <row r="120">
          <cell r="A120">
            <v>34724</v>
          </cell>
          <cell r="B120" t="str">
            <v>法国</v>
          </cell>
          <cell r="C120" t="str">
            <v>农产品</v>
          </cell>
          <cell r="D120">
            <v>585.9</v>
          </cell>
        </row>
        <row r="121">
          <cell r="A121">
            <v>34724</v>
          </cell>
          <cell r="B121" t="str">
            <v>法国</v>
          </cell>
          <cell r="C121" t="str">
            <v>糖果</v>
          </cell>
          <cell r="D121">
            <v>58.8</v>
          </cell>
        </row>
        <row r="122">
          <cell r="A122">
            <v>34724</v>
          </cell>
          <cell r="B122" t="str">
            <v>法国</v>
          </cell>
          <cell r="C122" t="str">
            <v>糖果</v>
          </cell>
          <cell r="D122">
            <v>1307.25</v>
          </cell>
        </row>
        <row r="123">
          <cell r="A123">
            <v>34724</v>
          </cell>
          <cell r="B123" t="str">
            <v>法国</v>
          </cell>
          <cell r="C123" t="str">
            <v>乳制品</v>
          </cell>
          <cell r="D123">
            <v>320</v>
          </cell>
        </row>
        <row r="124">
          <cell r="A124">
            <v>34724</v>
          </cell>
          <cell r="B124" t="str">
            <v>法国</v>
          </cell>
          <cell r="C124" t="str">
            <v>海洋食品</v>
          </cell>
          <cell r="D124">
            <v>48</v>
          </cell>
        </row>
        <row r="125">
          <cell r="A125">
            <v>34724</v>
          </cell>
          <cell r="B125" t="str">
            <v>法国</v>
          </cell>
          <cell r="C125" t="str">
            <v>糖果</v>
          </cell>
          <cell r="D125">
            <v>394</v>
          </cell>
        </row>
        <row r="126">
          <cell r="A126">
            <v>34726</v>
          </cell>
          <cell r="B126" t="str">
            <v>英国</v>
          </cell>
          <cell r="C126" t="str">
            <v>面食/谷类</v>
          </cell>
          <cell r="D126">
            <v>288</v>
          </cell>
        </row>
        <row r="127">
          <cell r="A127">
            <v>34726</v>
          </cell>
          <cell r="B127" t="str">
            <v>英国</v>
          </cell>
          <cell r="C127" t="str">
            <v>乳制品</v>
          </cell>
          <cell r="D127">
            <v>1032</v>
          </cell>
        </row>
        <row r="128">
          <cell r="A128">
            <v>34726</v>
          </cell>
          <cell r="B128" t="str">
            <v>英国</v>
          </cell>
          <cell r="C128" t="str">
            <v>乳制品</v>
          </cell>
          <cell r="D128">
            <v>583.79999999999995</v>
          </cell>
        </row>
        <row r="129">
          <cell r="A129">
            <v>34729</v>
          </cell>
          <cell r="B129" t="str">
            <v>法国</v>
          </cell>
          <cell r="C129" t="str">
            <v>饮料</v>
          </cell>
          <cell r="D129">
            <v>432</v>
          </cell>
        </row>
        <row r="130">
          <cell r="A130">
            <v>34729</v>
          </cell>
          <cell r="B130" t="str">
            <v>法国</v>
          </cell>
          <cell r="C130" t="str">
            <v>肉/家禽</v>
          </cell>
          <cell r="D130">
            <v>2073.5999965667725</v>
          </cell>
        </row>
        <row r="131">
          <cell r="A131">
            <v>34731</v>
          </cell>
          <cell r="B131" t="str">
            <v>法国</v>
          </cell>
          <cell r="C131" t="str">
            <v>海洋食品</v>
          </cell>
          <cell r="D131">
            <v>372.6</v>
          </cell>
        </row>
        <row r="132">
          <cell r="A132">
            <v>34731</v>
          </cell>
          <cell r="B132" t="str">
            <v>法国</v>
          </cell>
          <cell r="C132" t="str">
            <v>面食/谷类</v>
          </cell>
          <cell r="D132">
            <v>2128</v>
          </cell>
        </row>
        <row r="133">
          <cell r="A133">
            <v>34731</v>
          </cell>
          <cell r="B133" t="str">
            <v>法国</v>
          </cell>
          <cell r="C133" t="str">
            <v>香料</v>
          </cell>
          <cell r="D133">
            <v>336</v>
          </cell>
        </row>
        <row r="134">
          <cell r="A134">
            <v>34731</v>
          </cell>
          <cell r="B134" t="str">
            <v>法国</v>
          </cell>
          <cell r="C134" t="str">
            <v>乳制品</v>
          </cell>
          <cell r="D134">
            <v>1032</v>
          </cell>
        </row>
        <row r="135">
          <cell r="A135">
            <v>34737</v>
          </cell>
          <cell r="B135" t="str">
            <v>英国</v>
          </cell>
          <cell r="C135" t="str">
            <v>乳制品</v>
          </cell>
          <cell r="D135">
            <v>504</v>
          </cell>
        </row>
        <row r="136">
          <cell r="A136">
            <v>34737</v>
          </cell>
          <cell r="B136" t="str">
            <v>英国</v>
          </cell>
          <cell r="C136" t="str">
            <v>乳制品</v>
          </cell>
          <cell r="D136">
            <v>432</v>
          </cell>
        </row>
        <row r="137">
          <cell r="A137">
            <v>34737</v>
          </cell>
          <cell r="B137" t="str">
            <v>英国</v>
          </cell>
          <cell r="C137" t="str">
            <v>乳制品</v>
          </cell>
          <cell r="D137">
            <v>258</v>
          </cell>
        </row>
        <row r="138">
          <cell r="A138">
            <v>34745</v>
          </cell>
          <cell r="B138" t="str">
            <v>法国</v>
          </cell>
          <cell r="C138" t="str">
            <v>肉/家禽</v>
          </cell>
          <cell r="D138">
            <v>62.4</v>
          </cell>
        </row>
        <row r="139">
          <cell r="A139">
            <v>34745</v>
          </cell>
          <cell r="B139" t="str">
            <v>法国</v>
          </cell>
          <cell r="C139" t="str">
            <v>乳制品</v>
          </cell>
          <cell r="D139">
            <v>40</v>
          </cell>
        </row>
        <row r="140">
          <cell r="A140">
            <v>34747</v>
          </cell>
          <cell r="B140" t="str">
            <v>英国</v>
          </cell>
          <cell r="C140" t="str">
            <v>饮料</v>
          </cell>
          <cell r="D140">
            <v>912</v>
          </cell>
        </row>
        <row r="141">
          <cell r="A141">
            <v>34747</v>
          </cell>
          <cell r="B141" t="str">
            <v>英国</v>
          </cell>
          <cell r="C141" t="str">
            <v>糖果</v>
          </cell>
          <cell r="D141">
            <v>418</v>
          </cell>
        </row>
        <row r="142">
          <cell r="A142">
            <v>34747</v>
          </cell>
          <cell r="B142" t="str">
            <v>英国</v>
          </cell>
          <cell r="C142" t="str">
            <v>香料</v>
          </cell>
          <cell r="D142">
            <v>364.8</v>
          </cell>
        </row>
        <row r="143">
          <cell r="A143">
            <v>34747</v>
          </cell>
          <cell r="B143" t="str">
            <v>英国</v>
          </cell>
          <cell r="C143" t="str">
            <v>农产品</v>
          </cell>
          <cell r="D143">
            <v>120</v>
          </cell>
        </row>
        <row r="144">
          <cell r="A144">
            <v>34761</v>
          </cell>
          <cell r="B144" t="str">
            <v>法国</v>
          </cell>
          <cell r="C144" t="str">
            <v>糖果</v>
          </cell>
          <cell r="D144">
            <v>249</v>
          </cell>
        </row>
        <row r="145">
          <cell r="A145">
            <v>34761</v>
          </cell>
          <cell r="B145" t="str">
            <v>法国</v>
          </cell>
          <cell r="C145" t="str">
            <v>肉/家禽</v>
          </cell>
          <cell r="D145">
            <v>236</v>
          </cell>
        </row>
        <row r="146">
          <cell r="A146">
            <v>34767</v>
          </cell>
          <cell r="B146" t="str">
            <v>英国</v>
          </cell>
          <cell r="C146" t="str">
            <v>糖果</v>
          </cell>
          <cell r="D146">
            <v>87.59999967366457</v>
          </cell>
        </row>
        <row r="147">
          <cell r="A147">
            <v>34767</v>
          </cell>
          <cell r="B147" t="str">
            <v>英国</v>
          </cell>
          <cell r="C147" t="str">
            <v>饮料</v>
          </cell>
          <cell r="D147">
            <v>179.19999933242798</v>
          </cell>
        </row>
        <row r="148">
          <cell r="A148">
            <v>34767</v>
          </cell>
          <cell r="B148" t="str">
            <v>英国</v>
          </cell>
          <cell r="C148" t="str">
            <v>面食/谷类</v>
          </cell>
          <cell r="D148">
            <v>187.19999930262566</v>
          </cell>
        </row>
        <row r="149">
          <cell r="A149">
            <v>34771</v>
          </cell>
          <cell r="B149" t="str">
            <v>法国</v>
          </cell>
          <cell r="C149" t="str">
            <v>饮料</v>
          </cell>
          <cell r="D149">
            <v>581.3999959230423</v>
          </cell>
        </row>
        <row r="150">
          <cell r="A150">
            <v>34771</v>
          </cell>
          <cell r="B150" t="str">
            <v>法国</v>
          </cell>
          <cell r="C150" t="str">
            <v>糖果</v>
          </cell>
          <cell r="D150">
            <v>578.93499594032767</v>
          </cell>
        </row>
        <row r="151">
          <cell r="A151">
            <v>34771</v>
          </cell>
          <cell r="B151" t="str">
            <v>法国</v>
          </cell>
          <cell r="C151" t="str">
            <v>肉/家禽</v>
          </cell>
          <cell r="D151">
            <v>2019.5999858379364</v>
          </cell>
        </row>
        <row r="152">
          <cell r="A152">
            <v>34771</v>
          </cell>
          <cell r="B152" t="str">
            <v>法国</v>
          </cell>
          <cell r="C152" t="str">
            <v>香料</v>
          </cell>
          <cell r="D152">
            <v>1744.1999877691269</v>
          </cell>
        </row>
        <row r="153">
          <cell r="A153">
            <v>34771</v>
          </cell>
          <cell r="B153" t="str">
            <v>法国</v>
          </cell>
          <cell r="C153" t="str">
            <v>糖果</v>
          </cell>
          <cell r="D153">
            <v>1755</v>
          </cell>
        </row>
        <row r="154">
          <cell r="A154">
            <v>34775</v>
          </cell>
          <cell r="B154" t="str">
            <v>英国</v>
          </cell>
          <cell r="C154" t="str">
            <v>糖果</v>
          </cell>
          <cell r="D154">
            <v>78.839999869465828</v>
          </cell>
        </row>
        <row r="155">
          <cell r="A155">
            <v>34775</v>
          </cell>
          <cell r="B155" t="str">
            <v>英国</v>
          </cell>
          <cell r="C155" t="str">
            <v>饮料</v>
          </cell>
          <cell r="D155">
            <v>64.799999892711639</v>
          </cell>
        </row>
        <row r="156">
          <cell r="A156">
            <v>34775</v>
          </cell>
          <cell r="B156" t="str">
            <v>英国</v>
          </cell>
          <cell r="C156" t="str">
            <v>乳制品</v>
          </cell>
          <cell r="D156">
            <v>26.999999955296516</v>
          </cell>
        </row>
        <row r="157">
          <cell r="A157">
            <v>34775</v>
          </cell>
          <cell r="B157" t="str">
            <v>英国</v>
          </cell>
          <cell r="C157" t="str">
            <v>面食/谷类</v>
          </cell>
          <cell r="D157">
            <v>75.599999874830246</v>
          </cell>
        </row>
        <row r="158">
          <cell r="A158">
            <v>34780</v>
          </cell>
          <cell r="B158" t="str">
            <v>英国</v>
          </cell>
          <cell r="C158" t="str">
            <v>肉/家禽</v>
          </cell>
          <cell r="D158">
            <v>2073.5999965667725</v>
          </cell>
        </row>
        <row r="159">
          <cell r="A159">
            <v>34780</v>
          </cell>
          <cell r="B159" t="str">
            <v>英国</v>
          </cell>
          <cell r="C159" t="str">
            <v>面食/谷类</v>
          </cell>
          <cell r="D159">
            <v>837.89999861270189</v>
          </cell>
        </row>
        <row r="160">
          <cell r="A160">
            <v>34780</v>
          </cell>
          <cell r="B160" t="str">
            <v>英国</v>
          </cell>
          <cell r="C160" t="str">
            <v>香料</v>
          </cell>
          <cell r="D160">
            <v>423.35999929904938</v>
          </cell>
        </row>
        <row r="161">
          <cell r="A161">
            <v>34780</v>
          </cell>
          <cell r="B161" t="str">
            <v>英国</v>
          </cell>
          <cell r="C161" t="str">
            <v>香料</v>
          </cell>
          <cell r="D161">
            <v>514.79999914765358</v>
          </cell>
        </row>
        <row r="162">
          <cell r="A162">
            <v>34781</v>
          </cell>
          <cell r="B162" t="str">
            <v>法国</v>
          </cell>
          <cell r="C162" t="str">
            <v>农产品</v>
          </cell>
          <cell r="D162">
            <v>546</v>
          </cell>
        </row>
        <row r="163">
          <cell r="A163">
            <v>34781</v>
          </cell>
          <cell r="B163" t="str">
            <v>法国</v>
          </cell>
          <cell r="C163" t="str">
            <v>香料</v>
          </cell>
          <cell r="D163">
            <v>1472.49999884516</v>
          </cell>
        </row>
        <row r="164">
          <cell r="A164">
            <v>34786</v>
          </cell>
          <cell r="B164" t="str">
            <v>英国</v>
          </cell>
          <cell r="C164" t="str">
            <v>糖果</v>
          </cell>
          <cell r="D164">
            <v>271.99999809265137</v>
          </cell>
        </row>
        <row r="165">
          <cell r="A165">
            <v>34786</v>
          </cell>
          <cell r="B165" t="str">
            <v>英国</v>
          </cell>
          <cell r="C165" t="str">
            <v>糖果</v>
          </cell>
          <cell r="D165">
            <v>285.59999799728394</v>
          </cell>
        </row>
        <row r="166">
          <cell r="A166">
            <v>34786</v>
          </cell>
          <cell r="B166" t="str">
            <v>英国</v>
          </cell>
          <cell r="C166" t="str">
            <v>乳制品</v>
          </cell>
          <cell r="D166">
            <v>1584</v>
          </cell>
        </row>
        <row r="167">
          <cell r="A167">
            <v>34796</v>
          </cell>
          <cell r="B167" t="str">
            <v>英国</v>
          </cell>
          <cell r="C167" t="str">
            <v>海洋食品</v>
          </cell>
          <cell r="D167">
            <v>165.6</v>
          </cell>
        </row>
        <row r="168">
          <cell r="A168">
            <v>34796</v>
          </cell>
          <cell r="B168" t="str">
            <v>英国</v>
          </cell>
          <cell r="C168" t="str">
            <v>饮料</v>
          </cell>
          <cell r="D168">
            <v>552</v>
          </cell>
        </row>
        <row r="169">
          <cell r="A169">
            <v>34799</v>
          </cell>
          <cell r="B169" t="str">
            <v>法国</v>
          </cell>
          <cell r="C169" t="str">
            <v>饮料</v>
          </cell>
          <cell r="D169">
            <v>516.7999963760376</v>
          </cell>
        </row>
        <row r="170">
          <cell r="A170">
            <v>34799</v>
          </cell>
          <cell r="B170" t="str">
            <v>法国</v>
          </cell>
          <cell r="C170" t="str">
            <v>糖果</v>
          </cell>
          <cell r="D170">
            <v>413.52499710023403</v>
          </cell>
        </row>
        <row r="171">
          <cell r="A171">
            <v>34799</v>
          </cell>
          <cell r="B171" t="str">
            <v>法国</v>
          </cell>
          <cell r="C171" t="str">
            <v>香料</v>
          </cell>
          <cell r="D171">
            <v>26.349999815225601</v>
          </cell>
        </row>
        <row r="172">
          <cell r="A172">
            <v>34808</v>
          </cell>
          <cell r="B172" t="str">
            <v>法国</v>
          </cell>
          <cell r="C172" t="str">
            <v>饮料</v>
          </cell>
          <cell r="D172">
            <v>6324</v>
          </cell>
        </row>
        <row r="173">
          <cell r="A173">
            <v>34808</v>
          </cell>
          <cell r="B173" t="str">
            <v>法国</v>
          </cell>
          <cell r="C173" t="str">
            <v>肉/家禽</v>
          </cell>
          <cell r="D173">
            <v>733.6</v>
          </cell>
        </row>
        <row r="174">
          <cell r="A174">
            <v>34808</v>
          </cell>
          <cell r="B174" t="str">
            <v>法国</v>
          </cell>
          <cell r="C174" t="str">
            <v>乳制品</v>
          </cell>
          <cell r="D174">
            <v>2640</v>
          </cell>
        </row>
        <row r="175">
          <cell r="A175">
            <v>34808</v>
          </cell>
          <cell r="B175" t="str">
            <v>法国</v>
          </cell>
          <cell r="C175" t="str">
            <v>面食/谷类</v>
          </cell>
          <cell r="D175">
            <v>798</v>
          </cell>
        </row>
        <row r="176">
          <cell r="A176">
            <v>34810</v>
          </cell>
          <cell r="B176" t="str">
            <v>法国</v>
          </cell>
          <cell r="C176" t="str">
            <v>海洋食品</v>
          </cell>
          <cell r="D176">
            <v>147</v>
          </cell>
        </row>
        <row r="177">
          <cell r="A177">
            <v>34813</v>
          </cell>
          <cell r="B177" t="str">
            <v>法国</v>
          </cell>
          <cell r="C177" t="str">
            <v>饮料</v>
          </cell>
          <cell r="D177">
            <v>372.39999970793724</v>
          </cell>
        </row>
        <row r="178">
          <cell r="A178">
            <v>34813</v>
          </cell>
          <cell r="B178" t="str">
            <v>法国</v>
          </cell>
          <cell r="C178" t="str">
            <v>香料</v>
          </cell>
          <cell r="D178">
            <v>296.39999976754189</v>
          </cell>
        </row>
        <row r="179">
          <cell r="A179">
            <v>34816</v>
          </cell>
          <cell r="B179" t="str">
            <v>英国</v>
          </cell>
          <cell r="C179" t="str">
            <v>乳制品</v>
          </cell>
          <cell r="D179">
            <v>1320</v>
          </cell>
        </row>
        <row r="180">
          <cell r="A180">
            <v>34816</v>
          </cell>
          <cell r="B180" t="str">
            <v>英国</v>
          </cell>
          <cell r="C180" t="str">
            <v>海洋食品</v>
          </cell>
          <cell r="D180">
            <v>191.99999928474426</v>
          </cell>
        </row>
        <row r="181">
          <cell r="A181">
            <v>34824</v>
          </cell>
          <cell r="B181" t="str">
            <v>英国</v>
          </cell>
          <cell r="C181" t="str">
            <v>面食/谷类</v>
          </cell>
          <cell r="D181">
            <v>425.6</v>
          </cell>
        </row>
        <row r="182">
          <cell r="A182">
            <v>34824</v>
          </cell>
          <cell r="B182" t="str">
            <v>英国</v>
          </cell>
          <cell r="C182" t="str">
            <v>乳制品</v>
          </cell>
          <cell r="D182">
            <v>695</v>
          </cell>
        </row>
        <row r="183">
          <cell r="A183">
            <v>34824</v>
          </cell>
          <cell r="B183" t="str">
            <v>英国</v>
          </cell>
          <cell r="C183" t="str">
            <v>香料</v>
          </cell>
          <cell r="D183">
            <v>260</v>
          </cell>
        </row>
        <row r="184">
          <cell r="A184">
            <v>34829</v>
          </cell>
          <cell r="B184" t="str">
            <v>英国</v>
          </cell>
          <cell r="C184" t="str">
            <v>肉/家禽</v>
          </cell>
          <cell r="D184">
            <v>149</v>
          </cell>
        </row>
        <row r="185">
          <cell r="A185">
            <v>34831</v>
          </cell>
          <cell r="B185" t="str">
            <v>法国</v>
          </cell>
          <cell r="C185" t="str">
            <v>饮料</v>
          </cell>
          <cell r="D185">
            <v>228</v>
          </cell>
        </row>
        <row r="186">
          <cell r="A186">
            <v>34831</v>
          </cell>
          <cell r="B186" t="str">
            <v>法国</v>
          </cell>
          <cell r="C186" t="str">
            <v>糖果</v>
          </cell>
          <cell r="D186">
            <v>120</v>
          </cell>
        </row>
        <row r="187">
          <cell r="A187">
            <v>34831</v>
          </cell>
          <cell r="B187" t="str">
            <v>法国</v>
          </cell>
          <cell r="C187" t="str">
            <v>肉/家禽</v>
          </cell>
          <cell r="D187">
            <v>328</v>
          </cell>
        </row>
        <row r="188">
          <cell r="A188">
            <v>34831</v>
          </cell>
          <cell r="B188" t="str">
            <v>法国</v>
          </cell>
          <cell r="C188" t="str">
            <v>香料</v>
          </cell>
          <cell r="D188">
            <v>712.5</v>
          </cell>
        </row>
        <row r="189">
          <cell r="A189">
            <v>34835</v>
          </cell>
          <cell r="B189" t="str">
            <v>英国</v>
          </cell>
          <cell r="C189" t="str">
            <v>糖果</v>
          </cell>
          <cell r="D189">
            <v>226.79999962449074</v>
          </cell>
        </row>
        <row r="190">
          <cell r="A190">
            <v>34835</v>
          </cell>
          <cell r="B190" t="str">
            <v>英国</v>
          </cell>
          <cell r="C190" t="str">
            <v>饮料</v>
          </cell>
          <cell r="D190">
            <v>188.99999968707561</v>
          </cell>
        </row>
        <row r="191">
          <cell r="A191">
            <v>34836</v>
          </cell>
          <cell r="B191" t="str">
            <v>英国</v>
          </cell>
          <cell r="C191" t="str">
            <v>海洋食品</v>
          </cell>
          <cell r="D191">
            <v>60</v>
          </cell>
        </row>
        <row r="192">
          <cell r="A192">
            <v>34836</v>
          </cell>
          <cell r="B192" t="str">
            <v>英国</v>
          </cell>
          <cell r="C192" t="str">
            <v>饮料</v>
          </cell>
          <cell r="D192">
            <v>180</v>
          </cell>
        </row>
        <row r="193">
          <cell r="A193">
            <v>34837</v>
          </cell>
          <cell r="B193" t="str">
            <v>英国</v>
          </cell>
          <cell r="C193" t="str">
            <v>农产品</v>
          </cell>
          <cell r="D193">
            <v>136.80000000000001</v>
          </cell>
        </row>
        <row r="194">
          <cell r="A194">
            <v>34838</v>
          </cell>
          <cell r="B194" t="str">
            <v>法国</v>
          </cell>
          <cell r="C194" t="str">
            <v>肉/家禽</v>
          </cell>
          <cell r="D194">
            <v>4456.4399999999996</v>
          </cell>
        </row>
        <row r="195">
          <cell r="A195">
            <v>34838</v>
          </cell>
          <cell r="B195" t="str">
            <v>法国</v>
          </cell>
          <cell r="C195" t="str">
            <v>饮料</v>
          </cell>
          <cell r="D195">
            <v>251.0999995842576</v>
          </cell>
        </row>
        <row r="196">
          <cell r="A196">
            <v>34842</v>
          </cell>
          <cell r="B196" t="str">
            <v>英国</v>
          </cell>
          <cell r="C196" t="str">
            <v>糖果</v>
          </cell>
          <cell r="D196">
            <v>319.9999988079071</v>
          </cell>
        </row>
        <row r="197">
          <cell r="A197">
            <v>34842</v>
          </cell>
          <cell r="B197" t="str">
            <v>英国</v>
          </cell>
          <cell r="C197" t="str">
            <v>乳制品</v>
          </cell>
          <cell r="D197">
            <v>1279.9999952316284</v>
          </cell>
        </row>
        <row r="198">
          <cell r="A198">
            <v>34842</v>
          </cell>
          <cell r="B198" t="str">
            <v>英国</v>
          </cell>
          <cell r="C198" t="str">
            <v>香料</v>
          </cell>
          <cell r="D198">
            <v>341.99999872595072</v>
          </cell>
        </row>
        <row r="199">
          <cell r="A199">
            <v>34843</v>
          </cell>
          <cell r="B199" t="str">
            <v>英国</v>
          </cell>
          <cell r="C199" t="str">
            <v>肉/家禽</v>
          </cell>
          <cell r="D199">
            <v>1319.1999907493591</v>
          </cell>
        </row>
        <row r="200">
          <cell r="A200">
            <v>34843</v>
          </cell>
          <cell r="B200" t="str">
            <v>英国</v>
          </cell>
          <cell r="C200" t="str">
            <v>糖果</v>
          </cell>
          <cell r="D200">
            <v>872.5</v>
          </cell>
        </row>
        <row r="201">
          <cell r="A201">
            <v>34843</v>
          </cell>
          <cell r="B201" t="str">
            <v>英国</v>
          </cell>
          <cell r="C201" t="str">
            <v>糖果</v>
          </cell>
          <cell r="D201">
            <v>5268</v>
          </cell>
        </row>
        <row r="202">
          <cell r="A202">
            <v>34843</v>
          </cell>
          <cell r="B202" t="str">
            <v>英国</v>
          </cell>
          <cell r="C202" t="str">
            <v>乳制品</v>
          </cell>
          <cell r="D202">
            <v>33.999999761581421</v>
          </cell>
        </row>
        <row r="203">
          <cell r="A203">
            <v>34843</v>
          </cell>
          <cell r="B203" t="str">
            <v>英国</v>
          </cell>
          <cell r="C203" t="str">
            <v>乳制品</v>
          </cell>
          <cell r="D203">
            <v>2427.5999829769135</v>
          </cell>
        </row>
        <row r="204">
          <cell r="A204">
            <v>34850</v>
          </cell>
          <cell r="B204" t="str">
            <v>英国</v>
          </cell>
          <cell r="C204" t="str">
            <v>饮料</v>
          </cell>
          <cell r="D204">
            <v>575.99999785423279</v>
          </cell>
        </row>
        <row r="205">
          <cell r="A205">
            <v>34850</v>
          </cell>
          <cell r="B205" t="str">
            <v>英国</v>
          </cell>
          <cell r="C205" t="str">
            <v>香料</v>
          </cell>
          <cell r="D205">
            <v>960</v>
          </cell>
        </row>
        <row r="206">
          <cell r="A206">
            <v>34850</v>
          </cell>
          <cell r="B206" t="str">
            <v>英国</v>
          </cell>
          <cell r="C206" t="str">
            <v>海洋食品</v>
          </cell>
          <cell r="D206">
            <v>414.23999845683574</v>
          </cell>
        </row>
        <row r="207">
          <cell r="A207">
            <v>34850</v>
          </cell>
          <cell r="B207" t="str">
            <v>英国</v>
          </cell>
          <cell r="C207" t="str">
            <v>海洋食品</v>
          </cell>
          <cell r="D207">
            <v>367.99999862909317</v>
          </cell>
        </row>
        <row r="208">
          <cell r="A208">
            <v>34855</v>
          </cell>
          <cell r="B208" t="str">
            <v>英国</v>
          </cell>
          <cell r="C208" t="str">
            <v>香料</v>
          </cell>
          <cell r="D208">
            <v>989.99999836087227</v>
          </cell>
        </row>
        <row r="209">
          <cell r="A209">
            <v>34855</v>
          </cell>
          <cell r="B209" t="str">
            <v>英国</v>
          </cell>
          <cell r="C209" t="str">
            <v>海洋食品</v>
          </cell>
          <cell r="D209">
            <v>512.99999915063381</v>
          </cell>
        </row>
        <row r="210">
          <cell r="A210">
            <v>34856</v>
          </cell>
          <cell r="B210" t="str">
            <v>法国</v>
          </cell>
          <cell r="C210" t="str">
            <v>乳制品</v>
          </cell>
          <cell r="D210">
            <v>63</v>
          </cell>
        </row>
        <row r="211">
          <cell r="A211">
            <v>34856</v>
          </cell>
          <cell r="B211" t="str">
            <v>法国</v>
          </cell>
          <cell r="C211" t="str">
            <v>乳制品</v>
          </cell>
          <cell r="D211">
            <v>15.999999940395355</v>
          </cell>
        </row>
        <row r="212">
          <cell r="A212">
            <v>34856</v>
          </cell>
          <cell r="B212" t="str">
            <v>法国</v>
          </cell>
          <cell r="C212" t="str">
            <v>乳制品</v>
          </cell>
          <cell r="D212">
            <v>313.2</v>
          </cell>
        </row>
        <row r="213">
          <cell r="A213">
            <v>34862</v>
          </cell>
          <cell r="B213" t="str">
            <v>英国</v>
          </cell>
          <cell r="C213" t="str">
            <v>海洋食品</v>
          </cell>
          <cell r="D213">
            <v>258.89999999999998</v>
          </cell>
        </row>
        <row r="214">
          <cell r="A214">
            <v>34862</v>
          </cell>
          <cell r="B214" t="str">
            <v>英国</v>
          </cell>
          <cell r="C214" t="str">
            <v>海洋食品</v>
          </cell>
          <cell r="D214">
            <v>147.19999945163727</v>
          </cell>
        </row>
        <row r="215">
          <cell r="A215">
            <v>34862</v>
          </cell>
          <cell r="B215" t="str">
            <v>英国</v>
          </cell>
          <cell r="C215" t="str">
            <v>肉/家禽</v>
          </cell>
          <cell r="D215">
            <v>59.599999777972698</v>
          </cell>
        </row>
        <row r="216">
          <cell r="A216">
            <v>34864</v>
          </cell>
          <cell r="B216" t="str">
            <v>英国</v>
          </cell>
          <cell r="C216" t="str">
            <v>乳制品</v>
          </cell>
          <cell r="D216">
            <v>427.5</v>
          </cell>
        </row>
        <row r="217">
          <cell r="A217">
            <v>34864</v>
          </cell>
          <cell r="B217" t="str">
            <v>英国</v>
          </cell>
          <cell r="C217" t="str">
            <v>乳制品</v>
          </cell>
          <cell r="D217">
            <v>250</v>
          </cell>
        </row>
        <row r="218">
          <cell r="A218">
            <v>34864</v>
          </cell>
          <cell r="B218" t="str">
            <v>英国</v>
          </cell>
          <cell r="C218" t="str">
            <v>乳制品</v>
          </cell>
          <cell r="D218">
            <v>75</v>
          </cell>
        </row>
        <row r="219">
          <cell r="A219">
            <v>34864</v>
          </cell>
          <cell r="B219" t="str">
            <v>英国</v>
          </cell>
          <cell r="C219" t="str">
            <v>乳制品</v>
          </cell>
          <cell r="D219">
            <v>892.5</v>
          </cell>
        </row>
        <row r="220">
          <cell r="A220">
            <v>34869</v>
          </cell>
          <cell r="B220" t="str">
            <v>英国</v>
          </cell>
          <cell r="C220" t="str">
            <v>香料</v>
          </cell>
          <cell r="D220">
            <v>600</v>
          </cell>
        </row>
        <row r="221">
          <cell r="A221">
            <v>34869</v>
          </cell>
          <cell r="B221" t="str">
            <v>英国</v>
          </cell>
          <cell r="C221" t="str">
            <v>糖果</v>
          </cell>
          <cell r="D221">
            <v>1249.2</v>
          </cell>
        </row>
        <row r="222">
          <cell r="A222">
            <v>34869</v>
          </cell>
          <cell r="B222" t="str">
            <v>英国</v>
          </cell>
          <cell r="C222" t="str">
            <v>饮料</v>
          </cell>
          <cell r="D222">
            <v>7905</v>
          </cell>
        </row>
        <row r="223">
          <cell r="A223">
            <v>34869</v>
          </cell>
          <cell r="B223" t="str">
            <v>英国</v>
          </cell>
          <cell r="C223" t="str">
            <v>糖果</v>
          </cell>
          <cell r="D223">
            <v>437.5</v>
          </cell>
        </row>
        <row r="224">
          <cell r="A224">
            <v>34870</v>
          </cell>
          <cell r="B224" t="str">
            <v>英国</v>
          </cell>
          <cell r="C224" t="str">
            <v>乳制品</v>
          </cell>
          <cell r="D224">
            <v>299.24999976530671</v>
          </cell>
        </row>
        <row r="225">
          <cell r="A225">
            <v>34870</v>
          </cell>
          <cell r="B225" t="str">
            <v>英国</v>
          </cell>
          <cell r="C225" t="str">
            <v>肉/家禽</v>
          </cell>
          <cell r="D225">
            <v>169.85999986678362</v>
          </cell>
        </row>
        <row r="226">
          <cell r="A226">
            <v>34871</v>
          </cell>
          <cell r="B226" t="str">
            <v>法国</v>
          </cell>
          <cell r="C226" t="str">
            <v>农产品</v>
          </cell>
          <cell r="D226">
            <v>319.2</v>
          </cell>
        </row>
        <row r="227">
          <cell r="A227">
            <v>34871</v>
          </cell>
          <cell r="B227" t="str">
            <v>法国</v>
          </cell>
          <cell r="C227" t="str">
            <v>饮料</v>
          </cell>
          <cell r="D227">
            <v>98</v>
          </cell>
        </row>
        <row r="228">
          <cell r="A228">
            <v>34872</v>
          </cell>
          <cell r="B228" t="str">
            <v>法国</v>
          </cell>
          <cell r="C228" t="str">
            <v>乳制品</v>
          </cell>
          <cell r="D228">
            <v>210</v>
          </cell>
        </row>
        <row r="229">
          <cell r="A229">
            <v>34876</v>
          </cell>
          <cell r="B229" t="str">
            <v>英国</v>
          </cell>
          <cell r="C229" t="str">
            <v>饮料</v>
          </cell>
          <cell r="D229">
            <v>105</v>
          </cell>
        </row>
        <row r="230">
          <cell r="A230">
            <v>34876</v>
          </cell>
          <cell r="B230" t="str">
            <v>英国</v>
          </cell>
          <cell r="C230" t="str">
            <v>海洋食品</v>
          </cell>
          <cell r="D230">
            <v>135.1</v>
          </cell>
        </row>
        <row r="231">
          <cell r="A231">
            <v>34877</v>
          </cell>
          <cell r="B231" t="str">
            <v>英国</v>
          </cell>
          <cell r="C231" t="str">
            <v>乳制品</v>
          </cell>
          <cell r="D231">
            <v>584.37499590218067</v>
          </cell>
        </row>
        <row r="232">
          <cell r="A232">
            <v>34877</v>
          </cell>
          <cell r="B232" t="str">
            <v>英国</v>
          </cell>
          <cell r="C232" t="str">
            <v>海洋食品</v>
          </cell>
          <cell r="D232">
            <v>807.49999433755875</v>
          </cell>
        </row>
        <row r="233">
          <cell r="A233">
            <v>34877</v>
          </cell>
          <cell r="B233" t="str">
            <v>英国</v>
          </cell>
          <cell r="C233" t="str">
            <v>农产品</v>
          </cell>
          <cell r="D233">
            <v>2162.3999848365784</v>
          </cell>
        </row>
        <row r="234">
          <cell r="A234">
            <v>34880</v>
          </cell>
          <cell r="B234" t="str">
            <v>英国</v>
          </cell>
          <cell r="C234" t="str">
            <v>糖果</v>
          </cell>
          <cell r="D234">
            <v>497.32499960996211</v>
          </cell>
        </row>
        <row r="235">
          <cell r="A235">
            <v>34880</v>
          </cell>
          <cell r="B235" t="str">
            <v>英国</v>
          </cell>
          <cell r="C235" t="str">
            <v>面食/谷类</v>
          </cell>
          <cell r="D235">
            <v>170.99999986588955</v>
          </cell>
        </row>
        <row r="236">
          <cell r="A236">
            <v>34880</v>
          </cell>
          <cell r="B236" t="str">
            <v>英国</v>
          </cell>
          <cell r="C236" t="str">
            <v>糖果</v>
          </cell>
          <cell r="D236">
            <v>936.69999926537275</v>
          </cell>
        </row>
        <row r="237">
          <cell r="A237">
            <v>34880</v>
          </cell>
          <cell r="B237" t="str">
            <v>英国</v>
          </cell>
          <cell r="C237" t="str">
            <v>香料</v>
          </cell>
          <cell r="D237">
            <v>123.49999990314245</v>
          </cell>
        </row>
        <row r="238">
          <cell r="A238">
            <v>34883</v>
          </cell>
          <cell r="B238" t="str">
            <v>法国</v>
          </cell>
          <cell r="C238" t="str">
            <v>农产品</v>
          </cell>
          <cell r="D238">
            <v>557.99999792128801</v>
          </cell>
        </row>
        <row r="239">
          <cell r="A239">
            <v>34883</v>
          </cell>
          <cell r="B239" t="str">
            <v>法国</v>
          </cell>
          <cell r="C239" t="str">
            <v>糖果</v>
          </cell>
          <cell r="D239">
            <v>257.59999904036522</v>
          </cell>
        </row>
        <row r="240">
          <cell r="A240">
            <v>34883</v>
          </cell>
          <cell r="B240" t="str">
            <v>法国</v>
          </cell>
          <cell r="C240" t="str">
            <v>饮料</v>
          </cell>
          <cell r="D240">
            <v>64.799999758601189</v>
          </cell>
        </row>
        <row r="241">
          <cell r="A241">
            <v>34883</v>
          </cell>
          <cell r="B241" t="str">
            <v>法国</v>
          </cell>
          <cell r="C241" t="str">
            <v>农产品</v>
          </cell>
          <cell r="D241">
            <v>847.99999684095383</v>
          </cell>
        </row>
        <row r="242">
          <cell r="A242">
            <v>34883</v>
          </cell>
          <cell r="B242" t="str">
            <v>法国</v>
          </cell>
          <cell r="C242" t="str">
            <v>面食/谷类</v>
          </cell>
          <cell r="D242">
            <v>1215.999995470047</v>
          </cell>
        </row>
        <row r="243">
          <cell r="A243">
            <v>34884</v>
          </cell>
          <cell r="B243" t="str">
            <v>英国</v>
          </cell>
          <cell r="C243" t="str">
            <v>面食/谷类</v>
          </cell>
          <cell r="D243">
            <v>997.5</v>
          </cell>
        </row>
        <row r="244">
          <cell r="A244">
            <v>34884</v>
          </cell>
          <cell r="B244" t="str">
            <v>英国</v>
          </cell>
          <cell r="C244" t="str">
            <v>饮料</v>
          </cell>
          <cell r="D244">
            <v>155</v>
          </cell>
        </row>
        <row r="245">
          <cell r="A245">
            <v>34887</v>
          </cell>
          <cell r="B245" t="str">
            <v>英国</v>
          </cell>
          <cell r="C245" t="str">
            <v>海洋食品</v>
          </cell>
          <cell r="D245">
            <v>517.79999999999995</v>
          </cell>
        </row>
        <row r="246">
          <cell r="A246">
            <v>34887</v>
          </cell>
          <cell r="B246" t="str">
            <v>英国</v>
          </cell>
          <cell r="C246" t="str">
            <v>糖果</v>
          </cell>
          <cell r="D246">
            <v>554.625</v>
          </cell>
        </row>
        <row r="247">
          <cell r="A247">
            <v>34891</v>
          </cell>
          <cell r="B247" t="str">
            <v>法国</v>
          </cell>
          <cell r="C247" t="str">
            <v>肉/家禽</v>
          </cell>
          <cell r="D247">
            <v>592.79999953508377</v>
          </cell>
        </row>
        <row r="248">
          <cell r="A248">
            <v>34891</v>
          </cell>
          <cell r="B248" t="str">
            <v>法国</v>
          </cell>
          <cell r="C248" t="str">
            <v>乳制品</v>
          </cell>
          <cell r="D248">
            <v>71.249999944120646</v>
          </cell>
        </row>
        <row r="249">
          <cell r="A249">
            <v>34891</v>
          </cell>
          <cell r="B249" t="str">
            <v>法国</v>
          </cell>
          <cell r="C249" t="str">
            <v>肉/家禽</v>
          </cell>
          <cell r="D249">
            <v>569.99999955296516</v>
          </cell>
        </row>
        <row r="250">
          <cell r="A250">
            <v>34897</v>
          </cell>
          <cell r="B250" t="str">
            <v>法国</v>
          </cell>
          <cell r="C250" t="str">
            <v>乳制品</v>
          </cell>
          <cell r="D250">
            <v>349.9999986961484</v>
          </cell>
        </row>
        <row r="251">
          <cell r="A251">
            <v>34897</v>
          </cell>
          <cell r="B251" t="str">
            <v>法国</v>
          </cell>
          <cell r="C251" t="str">
            <v>饮料</v>
          </cell>
          <cell r="D251">
            <v>540</v>
          </cell>
        </row>
        <row r="252">
          <cell r="A252">
            <v>34900</v>
          </cell>
          <cell r="B252" t="str">
            <v>法国</v>
          </cell>
          <cell r="C252" t="str">
            <v>乳制品</v>
          </cell>
          <cell r="D252">
            <v>35</v>
          </cell>
        </row>
        <row r="253">
          <cell r="A253">
            <v>34900</v>
          </cell>
          <cell r="B253" t="str">
            <v>法国</v>
          </cell>
          <cell r="C253" t="str">
            <v>海洋食品</v>
          </cell>
          <cell r="D253">
            <v>36.799999999999997</v>
          </cell>
        </row>
        <row r="254">
          <cell r="A254">
            <v>34900</v>
          </cell>
          <cell r="B254" t="str">
            <v>法国</v>
          </cell>
          <cell r="C254" t="str">
            <v>糖果</v>
          </cell>
          <cell r="D254">
            <v>493</v>
          </cell>
        </row>
        <row r="255">
          <cell r="A255">
            <v>34900</v>
          </cell>
          <cell r="B255" t="str">
            <v>法国</v>
          </cell>
          <cell r="C255" t="str">
            <v>面食/谷类</v>
          </cell>
          <cell r="D255">
            <v>199.5</v>
          </cell>
        </row>
        <row r="256">
          <cell r="A256">
            <v>34901</v>
          </cell>
          <cell r="B256" t="str">
            <v>英国</v>
          </cell>
          <cell r="C256" t="str">
            <v>乳制品</v>
          </cell>
          <cell r="D256">
            <v>660</v>
          </cell>
        </row>
        <row r="257">
          <cell r="A257">
            <v>34901</v>
          </cell>
          <cell r="B257" t="str">
            <v>英国</v>
          </cell>
          <cell r="C257" t="str">
            <v>香料</v>
          </cell>
          <cell r="D257">
            <v>263.39999999999998</v>
          </cell>
        </row>
        <row r="258">
          <cell r="A258">
            <v>34901</v>
          </cell>
          <cell r="B258" t="str">
            <v>英国</v>
          </cell>
          <cell r="C258" t="str">
            <v>乳制品</v>
          </cell>
          <cell r="D258">
            <v>1044</v>
          </cell>
        </row>
        <row r="259">
          <cell r="A259">
            <v>34901</v>
          </cell>
          <cell r="B259" t="str">
            <v>英国</v>
          </cell>
          <cell r="C259" t="str">
            <v>饮料</v>
          </cell>
          <cell r="D259">
            <v>180</v>
          </cell>
        </row>
        <row r="260">
          <cell r="A260">
            <v>34904</v>
          </cell>
          <cell r="B260" t="str">
            <v>法国</v>
          </cell>
          <cell r="C260" t="str">
            <v>饮料</v>
          </cell>
          <cell r="D260">
            <v>180</v>
          </cell>
        </row>
        <row r="261">
          <cell r="A261">
            <v>34904</v>
          </cell>
          <cell r="B261" t="str">
            <v>法国</v>
          </cell>
          <cell r="C261" t="str">
            <v>饮料</v>
          </cell>
          <cell r="D261">
            <v>155</v>
          </cell>
        </row>
        <row r="262">
          <cell r="A262">
            <v>34904</v>
          </cell>
          <cell r="B262" t="str">
            <v>法国</v>
          </cell>
          <cell r="C262" t="str">
            <v>香料</v>
          </cell>
          <cell r="D262">
            <v>234</v>
          </cell>
        </row>
        <row r="263">
          <cell r="A263">
            <v>34906</v>
          </cell>
          <cell r="B263" t="str">
            <v>法国</v>
          </cell>
          <cell r="C263" t="str">
            <v>香料</v>
          </cell>
          <cell r="D263">
            <v>155</v>
          </cell>
        </row>
        <row r="264">
          <cell r="A264">
            <v>34906</v>
          </cell>
          <cell r="B264" t="str">
            <v>法国</v>
          </cell>
          <cell r="C264" t="str">
            <v>饮料</v>
          </cell>
          <cell r="D264">
            <v>162.75</v>
          </cell>
        </row>
        <row r="265">
          <cell r="A265">
            <v>34907</v>
          </cell>
          <cell r="B265" t="str">
            <v>英国</v>
          </cell>
          <cell r="C265" t="str">
            <v>农产品</v>
          </cell>
          <cell r="D265">
            <v>331.312499740161</v>
          </cell>
        </row>
        <row r="266">
          <cell r="A266">
            <v>34907</v>
          </cell>
          <cell r="B266" t="str">
            <v>英国</v>
          </cell>
          <cell r="C266" t="str">
            <v>海洋食品</v>
          </cell>
          <cell r="D266">
            <v>82.507499935291705</v>
          </cell>
        </row>
        <row r="267">
          <cell r="A267">
            <v>34907</v>
          </cell>
          <cell r="B267" t="str">
            <v>英国</v>
          </cell>
          <cell r="C267" t="str">
            <v>香料</v>
          </cell>
          <cell r="D267">
            <v>599.92499952949584</v>
          </cell>
        </row>
        <row r="268">
          <cell r="A268">
            <v>34908</v>
          </cell>
          <cell r="B268" t="str">
            <v>英国</v>
          </cell>
          <cell r="C268" t="str">
            <v>面食/谷类</v>
          </cell>
          <cell r="D268">
            <v>78</v>
          </cell>
        </row>
        <row r="269">
          <cell r="A269">
            <v>34908</v>
          </cell>
          <cell r="B269" t="str">
            <v>英国</v>
          </cell>
          <cell r="C269" t="str">
            <v>饮料</v>
          </cell>
          <cell r="D269">
            <v>252</v>
          </cell>
        </row>
        <row r="270">
          <cell r="A270">
            <v>34914</v>
          </cell>
          <cell r="B270" t="str">
            <v>英国</v>
          </cell>
          <cell r="C270" t="str">
            <v>海洋食品</v>
          </cell>
          <cell r="D270">
            <v>1999.9999925494194</v>
          </cell>
        </row>
        <row r="271">
          <cell r="A271">
            <v>34914</v>
          </cell>
          <cell r="B271" t="str">
            <v>英国</v>
          </cell>
          <cell r="C271" t="str">
            <v>面食/谷类</v>
          </cell>
          <cell r="D271">
            <v>1119.9999958276749</v>
          </cell>
        </row>
        <row r="272">
          <cell r="A272">
            <v>34915</v>
          </cell>
          <cell r="B272" t="str">
            <v>法国</v>
          </cell>
          <cell r="C272" t="str">
            <v>饮料</v>
          </cell>
          <cell r="D272">
            <v>72</v>
          </cell>
        </row>
        <row r="273">
          <cell r="A273">
            <v>34919</v>
          </cell>
          <cell r="B273" t="str">
            <v>英国</v>
          </cell>
          <cell r="C273" t="str">
            <v>香料</v>
          </cell>
          <cell r="D273">
            <v>368.12499971129</v>
          </cell>
        </row>
        <row r="274">
          <cell r="A274">
            <v>34919</v>
          </cell>
          <cell r="B274" t="str">
            <v>英国</v>
          </cell>
          <cell r="C274" t="str">
            <v>糖果</v>
          </cell>
          <cell r="D274">
            <v>148.3424998836592</v>
          </cell>
        </row>
        <row r="275">
          <cell r="A275">
            <v>34920</v>
          </cell>
          <cell r="B275" t="str">
            <v>英国</v>
          </cell>
          <cell r="C275" t="str">
            <v>糖果</v>
          </cell>
          <cell r="D275">
            <v>1360.799994930625</v>
          </cell>
        </row>
        <row r="276">
          <cell r="A276">
            <v>34920</v>
          </cell>
          <cell r="B276" t="str">
            <v>英国</v>
          </cell>
          <cell r="C276" t="str">
            <v>乳制品</v>
          </cell>
          <cell r="D276">
            <v>575.99999785423279</v>
          </cell>
        </row>
        <row r="277">
          <cell r="A277">
            <v>34920</v>
          </cell>
          <cell r="B277" t="str">
            <v>英国</v>
          </cell>
          <cell r="C277" t="str">
            <v>饮料</v>
          </cell>
          <cell r="D277">
            <v>57.599999785423279</v>
          </cell>
        </row>
        <row r="278">
          <cell r="A278">
            <v>34920</v>
          </cell>
          <cell r="B278" t="str">
            <v>法国</v>
          </cell>
          <cell r="C278" t="str">
            <v>面食/谷类</v>
          </cell>
          <cell r="D278">
            <v>168</v>
          </cell>
        </row>
        <row r="279">
          <cell r="A279">
            <v>34920</v>
          </cell>
          <cell r="B279" t="str">
            <v>法国</v>
          </cell>
          <cell r="C279" t="str">
            <v>海洋食品</v>
          </cell>
          <cell r="D279">
            <v>397.5</v>
          </cell>
        </row>
        <row r="280">
          <cell r="A280">
            <v>34922</v>
          </cell>
          <cell r="B280" t="str">
            <v>法国</v>
          </cell>
          <cell r="C280" t="str">
            <v>面食/谷类</v>
          </cell>
          <cell r="D280">
            <v>151.99999943375587</v>
          </cell>
        </row>
        <row r="281">
          <cell r="A281">
            <v>34922</v>
          </cell>
          <cell r="B281" t="str">
            <v>法国</v>
          </cell>
          <cell r="C281" t="str">
            <v>香料</v>
          </cell>
          <cell r="D281">
            <v>842.87999686002729</v>
          </cell>
        </row>
        <row r="282">
          <cell r="A282">
            <v>34922</v>
          </cell>
          <cell r="B282" t="str">
            <v>法国</v>
          </cell>
          <cell r="C282" t="str">
            <v>饮料</v>
          </cell>
          <cell r="D282">
            <v>185.999999307096</v>
          </cell>
        </row>
        <row r="283">
          <cell r="A283">
            <v>34925</v>
          </cell>
          <cell r="B283" t="str">
            <v>法国</v>
          </cell>
          <cell r="C283" t="str">
            <v>糖果</v>
          </cell>
          <cell r="D283">
            <v>2195</v>
          </cell>
        </row>
        <row r="284">
          <cell r="A284">
            <v>34925</v>
          </cell>
          <cell r="B284" t="str">
            <v>法国</v>
          </cell>
          <cell r="C284" t="str">
            <v>乳制品</v>
          </cell>
          <cell r="D284">
            <v>193.5</v>
          </cell>
        </row>
        <row r="285">
          <cell r="A285">
            <v>34927</v>
          </cell>
          <cell r="B285" t="str">
            <v>法国</v>
          </cell>
          <cell r="C285" t="str">
            <v>肉/家禽</v>
          </cell>
          <cell r="D285">
            <v>29.8</v>
          </cell>
        </row>
        <row r="286">
          <cell r="A286">
            <v>34927</v>
          </cell>
          <cell r="B286" t="str">
            <v>法国</v>
          </cell>
          <cell r="C286" t="str">
            <v>海洋食品</v>
          </cell>
          <cell r="D286">
            <v>450</v>
          </cell>
        </row>
        <row r="287">
          <cell r="A287">
            <v>34929</v>
          </cell>
          <cell r="B287" t="str">
            <v>法国</v>
          </cell>
          <cell r="C287" t="str">
            <v>面食/谷类</v>
          </cell>
          <cell r="D287">
            <v>1008</v>
          </cell>
        </row>
        <row r="288">
          <cell r="A288">
            <v>34929</v>
          </cell>
          <cell r="B288" t="str">
            <v>法国</v>
          </cell>
          <cell r="C288" t="str">
            <v>糖果</v>
          </cell>
          <cell r="D288">
            <v>474.99999962747097</v>
          </cell>
        </row>
        <row r="289">
          <cell r="A289">
            <v>34933</v>
          </cell>
          <cell r="B289" t="str">
            <v>法国</v>
          </cell>
          <cell r="C289" t="str">
            <v>农产品</v>
          </cell>
          <cell r="D289">
            <v>1350</v>
          </cell>
        </row>
        <row r="290">
          <cell r="A290">
            <v>34933</v>
          </cell>
          <cell r="B290" t="str">
            <v>法国</v>
          </cell>
          <cell r="C290" t="str">
            <v>肉/家禽</v>
          </cell>
          <cell r="D290">
            <v>3900</v>
          </cell>
        </row>
        <row r="291">
          <cell r="A291">
            <v>34933</v>
          </cell>
          <cell r="B291" t="str">
            <v>法国</v>
          </cell>
          <cell r="C291" t="str">
            <v>乳制品</v>
          </cell>
          <cell r="D291">
            <v>35</v>
          </cell>
        </row>
        <row r="292">
          <cell r="A292">
            <v>34933</v>
          </cell>
          <cell r="B292" t="str">
            <v>法国</v>
          </cell>
          <cell r="C292" t="str">
            <v>海洋食品</v>
          </cell>
          <cell r="D292">
            <v>772.8</v>
          </cell>
        </row>
        <row r="293">
          <cell r="A293">
            <v>34933</v>
          </cell>
          <cell r="B293" t="str">
            <v>法国</v>
          </cell>
          <cell r="C293" t="str">
            <v>乳制品</v>
          </cell>
          <cell r="D293">
            <v>417.6</v>
          </cell>
        </row>
        <row r="294">
          <cell r="A294">
            <v>34934</v>
          </cell>
          <cell r="B294" t="str">
            <v>英国</v>
          </cell>
          <cell r="C294" t="str">
            <v>面食/谷类</v>
          </cell>
          <cell r="D294">
            <v>1064</v>
          </cell>
        </row>
        <row r="295">
          <cell r="A295">
            <v>34939</v>
          </cell>
          <cell r="B295" t="str">
            <v>法国</v>
          </cell>
          <cell r="C295" t="str">
            <v>海洋食品</v>
          </cell>
          <cell r="D295">
            <v>2170</v>
          </cell>
        </row>
        <row r="296">
          <cell r="A296">
            <v>34939</v>
          </cell>
          <cell r="B296" t="str">
            <v>法国</v>
          </cell>
          <cell r="C296" t="str">
            <v>海洋食品</v>
          </cell>
          <cell r="D296">
            <v>1045</v>
          </cell>
        </row>
        <row r="297">
          <cell r="A297">
            <v>34939</v>
          </cell>
          <cell r="B297" t="str">
            <v>法国</v>
          </cell>
          <cell r="C297" t="str">
            <v>糖果</v>
          </cell>
          <cell r="D297">
            <v>360</v>
          </cell>
        </row>
        <row r="298">
          <cell r="A298">
            <v>34939</v>
          </cell>
          <cell r="B298" t="str">
            <v>法国</v>
          </cell>
          <cell r="C298" t="str">
            <v>乳制品</v>
          </cell>
          <cell r="D298">
            <v>1360</v>
          </cell>
        </row>
        <row r="299">
          <cell r="A299">
            <v>34939</v>
          </cell>
          <cell r="B299" t="str">
            <v>法国</v>
          </cell>
          <cell r="C299" t="str">
            <v>饮料</v>
          </cell>
          <cell r="D299">
            <v>1440</v>
          </cell>
        </row>
        <row r="300">
          <cell r="A300">
            <v>34940</v>
          </cell>
          <cell r="B300" t="str">
            <v>英国</v>
          </cell>
          <cell r="C300" t="str">
            <v>乳制品</v>
          </cell>
          <cell r="D300">
            <v>294</v>
          </cell>
        </row>
        <row r="301">
          <cell r="A301">
            <v>34940</v>
          </cell>
          <cell r="B301" t="str">
            <v>英国</v>
          </cell>
          <cell r="C301" t="str">
            <v>糖果</v>
          </cell>
          <cell r="D301">
            <v>80</v>
          </cell>
        </row>
        <row r="302">
          <cell r="A302">
            <v>34940</v>
          </cell>
          <cell r="B302" t="str">
            <v>英国</v>
          </cell>
          <cell r="C302" t="str">
            <v>饮料</v>
          </cell>
          <cell r="D302">
            <v>90</v>
          </cell>
        </row>
        <row r="303">
          <cell r="A303">
            <v>34942</v>
          </cell>
          <cell r="B303" t="str">
            <v>法国</v>
          </cell>
          <cell r="C303" t="str">
            <v>饮料</v>
          </cell>
          <cell r="D303">
            <v>3754.874997055158</v>
          </cell>
        </row>
        <row r="304">
          <cell r="A304">
            <v>34942</v>
          </cell>
          <cell r="B304" t="str">
            <v>法国</v>
          </cell>
          <cell r="C304" t="str">
            <v>面食/谷类</v>
          </cell>
          <cell r="D304">
            <v>532</v>
          </cell>
        </row>
        <row r="305">
          <cell r="A305">
            <v>34942</v>
          </cell>
          <cell r="B305" t="str">
            <v>法国</v>
          </cell>
          <cell r="C305" t="str">
            <v>饮料</v>
          </cell>
          <cell r="D305">
            <v>213.74999983236194</v>
          </cell>
        </row>
        <row r="306">
          <cell r="A306">
            <v>34942</v>
          </cell>
          <cell r="B306" t="str">
            <v>法国</v>
          </cell>
          <cell r="C306" t="str">
            <v>乳制品</v>
          </cell>
          <cell r="D306">
            <v>306.37499975971878</v>
          </cell>
        </row>
        <row r="307">
          <cell r="A307">
            <v>34942</v>
          </cell>
          <cell r="B307" t="str">
            <v>法国</v>
          </cell>
          <cell r="C307" t="str">
            <v>乳制品</v>
          </cell>
          <cell r="D307">
            <v>1402.4999901652336</v>
          </cell>
        </row>
        <row r="308">
          <cell r="A308">
            <v>34949</v>
          </cell>
          <cell r="B308" t="str">
            <v>英国</v>
          </cell>
          <cell r="C308" t="str">
            <v>农产品</v>
          </cell>
          <cell r="D308">
            <v>488.25</v>
          </cell>
        </row>
        <row r="309">
          <cell r="A309">
            <v>34949</v>
          </cell>
          <cell r="B309" t="str">
            <v>英国</v>
          </cell>
          <cell r="C309" t="str">
            <v>糖果</v>
          </cell>
          <cell r="D309">
            <v>124.19999979436398</v>
          </cell>
        </row>
        <row r="310">
          <cell r="A310">
            <v>34949</v>
          </cell>
          <cell r="B310" t="str">
            <v>英国</v>
          </cell>
          <cell r="C310" t="str">
            <v>糖果</v>
          </cell>
          <cell r="D310">
            <v>224.99999962747097</v>
          </cell>
        </row>
        <row r="311">
          <cell r="A311">
            <v>34949</v>
          </cell>
          <cell r="B311" t="str">
            <v>英国</v>
          </cell>
          <cell r="C311" t="str">
            <v>饮料</v>
          </cell>
          <cell r="D311">
            <v>13.5</v>
          </cell>
        </row>
        <row r="312">
          <cell r="A312">
            <v>34949</v>
          </cell>
          <cell r="B312" t="str">
            <v>英国</v>
          </cell>
          <cell r="C312" t="str">
            <v>饮料</v>
          </cell>
          <cell r="D312">
            <v>485.9999991953373</v>
          </cell>
        </row>
        <row r="313">
          <cell r="A313">
            <v>34949</v>
          </cell>
          <cell r="B313" t="str">
            <v>法国</v>
          </cell>
          <cell r="C313" t="str">
            <v>农产品</v>
          </cell>
          <cell r="D313">
            <v>456</v>
          </cell>
        </row>
        <row r="314">
          <cell r="A314">
            <v>34949</v>
          </cell>
          <cell r="B314" t="str">
            <v>法国</v>
          </cell>
          <cell r="C314" t="str">
            <v>肉/家禽</v>
          </cell>
          <cell r="D314">
            <v>742.74</v>
          </cell>
        </row>
        <row r="315">
          <cell r="A315">
            <v>34949</v>
          </cell>
          <cell r="B315" t="str">
            <v>法国</v>
          </cell>
          <cell r="C315" t="str">
            <v>香料</v>
          </cell>
          <cell r="D315">
            <v>194.5</v>
          </cell>
        </row>
        <row r="316">
          <cell r="A316">
            <v>34953</v>
          </cell>
          <cell r="B316" t="str">
            <v>法国</v>
          </cell>
          <cell r="C316" t="str">
            <v>糖果</v>
          </cell>
          <cell r="D316">
            <v>739.5</v>
          </cell>
        </row>
        <row r="317">
          <cell r="A317">
            <v>34953</v>
          </cell>
          <cell r="B317" t="str">
            <v>法国</v>
          </cell>
          <cell r="C317" t="str">
            <v>海洋食品</v>
          </cell>
          <cell r="D317">
            <v>446.24999687075615</v>
          </cell>
        </row>
        <row r="318">
          <cell r="A318">
            <v>34955</v>
          </cell>
          <cell r="B318" t="str">
            <v>英国</v>
          </cell>
          <cell r="C318" t="str">
            <v>肉/家禽</v>
          </cell>
          <cell r="D318">
            <v>273.59999978542328</v>
          </cell>
        </row>
        <row r="319">
          <cell r="A319">
            <v>34955</v>
          </cell>
          <cell r="B319" t="str">
            <v>英国</v>
          </cell>
          <cell r="C319" t="str">
            <v>饮料</v>
          </cell>
          <cell r="D319">
            <v>630</v>
          </cell>
        </row>
        <row r="320">
          <cell r="A320">
            <v>34956</v>
          </cell>
          <cell r="B320" t="str">
            <v>英国</v>
          </cell>
          <cell r="C320" t="str">
            <v>饮料</v>
          </cell>
          <cell r="D320">
            <v>541.49999957531691</v>
          </cell>
        </row>
        <row r="321">
          <cell r="A321">
            <v>34956</v>
          </cell>
          <cell r="B321" t="str">
            <v>英国</v>
          </cell>
          <cell r="C321" t="str">
            <v>乳制品</v>
          </cell>
          <cell r="D321">
            <v>47.499999962747097</v>
          </cell>
        </row>
        <row r="322">
          <cell r="A322">
            <v>34963</v>
          </cell>
          <cell r="B322" t="str">
            <v>英国</v>
          </cell>
          <cell r="C322" t="str">
            <v>乳制品</v>
          </cell>
          <cell r="D322">
            <v>540</v>
          </cell>
        </row>
        <row r="323">
          <cell r="A323">
            <v>34963</v>
          </cell>
          <cell r="B323" t="str">
            <v>英国</v>
          </cell>
          <cell r="C323" t="str">
            <v>饮料</v>
          </cell>
          <cell r="D323">
            <v>168.75</v>
          </cell>
        </row>
        <row r="324">
          <cell r="A324">
            <v>34974</v>
          </cell>
          <cell r="B324" t="str">
            <v>英国</v>
          </cell>
          <cell r="C324" t="str">
            <v>糖果</v>
          </cell>
          <cell r="D324">
            <v>82.8</v>
          </cell>
        </row>
        <row r="325">
          <cell r="A325">
            <v>34974</v>
          </cell>
          <cell r="B325" t="str">
            <v>英国</v>
          </cell>
          <cell r="C325" t="str">
            <v>面食/谷类</v>
          </cell>
          <cell r="D325">
            <v>315</v>
          </cell>
        </row>
        <row r="326">
          <cell r="A326">
            <v>34975</v>
          </cell>
          <cell r="B326" t="str">
            <v>英国</v>
          </cell>
          <cell r="C326" t="str">
            <v>糖果</v>
          </cell>
          <cell r="D326">
            <v>471.14999921992421</v>
          </cell>
        </row>
        <row r="327">
          <cell r="A327">
            <v>34975</v>
          </cell>
          <cell r="B327" t="str">
            <v>英国</v>
          </cell>
          <cell r="C327" t="str">
            <v>乳制品</v>
          </cell>
          <cell r="D327">
            <v>611.99999898672104</v>
          </cell>
        </row>
        <row r="328">
          <cell r="A328">
            <v>34977</v>
          </cell>
          <cell r="B328" t="str">
            <v>法国</v>
          </cell>
          <cell r="C328" t="str">
            <v>农产品</v>
          </cell>
          <cell r="D328">
            <v>62.774999896064401</v>
          </cell>
        </row>
        <row r="329">
          <cell r="A329">
            <v>34977</v>
          </cell>
          <cell r="B329" t="str">
            <v>法国</v>
          </cell>
          <cell r="C329" t="str">
            <v>香料</v>
          </cell>
          <cell r="D329">
            <v>490.13999918848276</v>
          </cell>
        </row>
        <row r="330">
          <cell r="A330">
            <v>34977</v>
          </cell>
          <cell r="B330" t="str">
            <v>法国</v>
          </cell>
          <cell r="C330" t="str">
            <v>糖果</v>
          </cell>
          <cell r="D330">
            <v>51.299999915063381</v>
          </cell>
        </row>
        <row r="331">
          <cell r="A331">
            <v>34977</v>
          </cell>
          <cell r="B331" t="str">
            <v>法国</v>
          </cell>
          <cell r="C331" t="str">
            <v>香料</v>
          </cell>
          <cell r="D331">
            <v>775</v>
          </cell>
        </row>
        <row r="332">
          <cell r="A332">
            <v>34977</v>
          </cell>
          <cell r="B332" t="str">
            <v>法国</v>
          </cell>
          <cell r="C332" t="str">
            <v>海洋食品</v>
          </cell>
          <cell r="D332">
            <v>231.6</v>
          </cell>
        </row>
        <row r="333">
          <cell r="A333">
            <v>34977</v>
          </cell>
          <cell r="B333" t="str">
            <v>法国</v>
          </cell>
          <cell r="C333" t="str">
            <v>海洋食品</v>
          </cell>
          <cell r="D333">
            <v>540</v>
          </cell>
        </row>
        <row r="334">
          <cell r="A334">
            <v>34977</v>
          </cell>
          <cell r="B334" t="str">
            <v>法国</v>
          </cell>
          <cell r="C334" t="str">
            <v>糖果</v>
          </cell>
          <cell r="D334">
            <v>95</v>
          </cell>
        </row>
        <row r="335">
          <cell r="A335">
            <v>34977</v>
          </cell>
          <cell r="B335" t="str">
            <v>法国</v>
          </cell>
          <cell r="C335" t="str">
            <v>面食/谷类</v>
          </cell>
          <cell r="D335">
            <v>1710</v>
          </cell>
        </row>
        <row r="336">
          <cell r="A336">
            <v>34977</v>
          </cell>
          <cell r="B336" t="str">
            <v>法国</v>
          </cell>
          <cell r="C336" t="str">
            <v>乳制品</v>
          </cell>
          <cell r="D336">
            <v>1020</v>
          </cell>
        </row>
        <row r="337">
          <cell r="A337">
            <v>34978</v>
          </cell>
          <cell r="B337" t="str">
            <v>英国</v>
          </cell>
          <cell r="C337" t="str">
            <v>糖果</v>
          </cell>
          <cell r="D337">
            <v>600</v>
          </cell>
        </row>
        <row r="338">
          <cell r="A338">
            <v>34978</v>
          </cell>
          <cell r="B338" t="str">
            <v>英国</v>
          </cell>
          <cell r="C338" t="str">
            <v>海洋食品</v>
          </cell>
          <cell r="D338">
            <v>1223.5999990403652</v>
          </cell>
        </row>
        <row r="339">
          <cell r="A339">
            <v>34978</v>
          </cell>
          <cell r="B339" t="str">
            <v>英国</v>
          </cell>
          <cell r="C339" t="str">
            <v>乳制品</v>
          </cell>
          <cell r="D339">
            <v>1776.4999986067414</v>
          </cell>
        </row>
        <row r="340">
          <cell r="A340">
            <v>34978</v>
          </cell>
          <cell r="B340" t="str">
            <v>英国</v>
          </cell>
          <cell r="C340" t="str">
            <v>香料</v>
          </cell>
          <cell r="D340">
            <v>864.49999932199717</v>
          </cell>
        </row>
        <row r="341">
          <cell r="A341">
            <v>34981</v>
          </cell>
          <cell r="B341" t="str">
            <v>法国</v>
          </cell>
          <cell r="C341" t="str">
            <v>糖果</v>
          </cell>
          <cell r="D341">
            <v>1701</v>
          </cell>
        </row>
        <row r="342">
          <cell r="A342">
            <v>34982</v>
          </cell>
          <cell r="B342" t="str">
            <v>法国</v>
          </cell>
          <cell r="C342" t="str">
            <v>糖果</v>
          </cell>
          <cell r="D342">
            <v>125</v>
          </cell>
        </row>
        <row r="343">
          <cell r="A343">
            <v>34984</v>
          </cell>
          <cell r="B343" t="str">
            <v>法国</v>
          </cell>
          <cell r="C343" t="str">
            <v>农产品</v>
          </cell>
          <cell r="D343">
            <v>1060</v>
          </cell>
        </row>
        <row r="344">
          <cell r="A344">
            <v>34984</v>
          </cell>
          <cell r="B344" t="str">
            <v>法国</v>
          </cell>
          <cell r="C344" t="str">
            <v>乳制品</v>
          </cell>
          <cell r="D344">
            <v>55</v>
          </cell>
        </row>
        <row r="345">
          <cell r="A345">
            <v>34984</v>
          </cell>
          <cell r="B345" t="str">
            <v>法国</v>
          </cell>
          <cell r="C345" t="str">
            <v>饮料</v>
          </cell>
          <cell r="D345">
            <v>180</v>
          </cell>
        </row>
        <row r="346">
          <cell r="A346">
            <v>34988</v>
          </cell>
          <cell r="B346" t="str">
            <v>英国</v>
          </cell>
          <cell r="C346" t="str">
            <v>乳制品</v>
          </cell>
          <cell r="D346">
            <v>89.999999850988388</v>
          </cell>
        </row>
        <row r="347">
          <cell r="A347">
            <v>34988</v>
          </cell>
          <cell r="B347" t="str">
            <v>英国</v>
          </cell>
          <cell r="C347" t="str">
            <v>肉/家禽</v>
          </cell>
          <cell r="D347">
            <v>86.399999856948853</v>
          </cell>
        </row>
        <row r="348">
          <cell r="A348">
            <v>34988</v>
          </cell>
          <cell r="B348" t="str">
            <v>英国</v>
          </cell>
          <cell r="C348" t="str">
            <v>面食/谷类</v>
          </cell>
          <cell r="D348">
            <v>448.87499925680459</v>
          </cell>
        </row>
        <row r="349">
          <cell r="A349">
            <v>34989</v>
          </cell>
          <cell r="B349" t="str">
            <v>英国</v>
          </cell>
          <cell r="C349" t="str">
            <v>面食/谷类</v>
          </cell>
          <cell r="D349">
            <v>288</v>
          </cell>
        </row>
        <row r="350">
          <cell r="A350">
            <v>34989</v>
          </cell>
          <cell r="B350" t="str">
            <v>英国</v>
          </cell>
          <cell r="C350" t="str">
            <v>海洋食品</v>
          </cell>
          <cell r="D350">
            <v>720</v>
          </cell>
        </row>
        <row r="351">
          <cell r="A351">
            <v>34989</v>
          </cell>
          <cell r="B351" t="str">
            <v>英国</v>
          </cell>
          <cell r="C351" t="str">
            <v>饮料</v>
          </cell>
          <cell r="D351">
            <v>350</v>
          </cell>
        </row>
        <row r="352">
          <cell r="A352">
            <v>34989</v>
          </cell>
          <cell r="B352" t="str">
            <v>英国</v>
          </cell>
          <cell r="C352" t="str">
            <v>海洋食品</v>
          </cell>
          <cell r="D352">
            <v>750</v>
          </cell>
        </row>
        <row r="353">
          <cell r="A353">
            <v>34989</v>
          </cell>
          <cell r="B353" t="str">
            <v>英国</v>
          </cell>
          <cell r="C353" t="str">
            <v>饮料</v>
          </cell>
          <cell r="D353">
            <v>193.75</v>
          </cell>
        </row>
        <row r="354">
          <cell r="A354">
            <v>34992</v>
          </cell>
          <cell r="B354" t="str">
            <v>英国</v>
          </cell>
          <cell r="C354" t="str">
            <v>农产品</v>
          </cell>
          <cell r="D354">
            <v>697.5</v>
          </cell>
        </row>
        <row r="355">
          <cell r="A355">
            <v>34992</v>
          </cell>
          <cell r="B355" t="str">
            <v>英国</v>
          </cell>
          <cell r="C355" t="str">
            <v>肉/家禽</v>
          </cell>
          <cell r="D355">
            <v>328</v>
          </cell>
        </row>
        <row r="356">
          <cell r="A356">
            <v>34992</v>
          </cell>
          <cell r="B356" t="str">
            <v>英国</v>
          </cell>
          <cell r="C356" t="str">
            <v>海洋食品</v>
          </cell>
          <cell r="D356">
            <v>397.5</v>
          </cell>
        </row>
        <row r="357">
          <cell r="A357">
            <v>34996</v>
          </cell>
          <cell r="B357" t="str">
            <v>法国</v>
          </cell>
          <cell r="C357" t="str">
            <v>乳制品</v>
          </cell>
          <cell r="D357">
            <v>3800</v>
          </cell>
        </row>
        <row r="358">
          <cell r="A358">
            <v>34996</v>
          </cell>
          <cell r="B358" t="str">
            <v>法国</v>
          </cell>
          <cell r="C358" t="str">
            <v>乳制品</v>
          </cell>
          <cell r="D358">
            <v>75</v>
          </cell>
        </row>
        <row r="359">
          <cell r="A359">
            <v>34996</v>
          </cell>
          <cell r="B359" t="str">
            <v>法国</v>
          </cell>
          <cell r="C359" t="str">
            <v>海洋食品</v>
          </cell>
          <cell r="D359">
            <v>1158</v>
          </cell>
        </row>
        <row r="360">
          <cell r="A360">
            <v>34996</v>
          </cell>
          <cell r="B360" t="str">
            <v>法国</v>
          </cell>
          <cell r="C360" t="str">
            <v>肉/家禽</v>
          </cell>
          <cell r="D360">
            <v>223.5</v>
          </cell>
        </row>
        <row r="361">
          <cell r="A361">
            <v>34997</v>
          </cell>
          <cell r="B361" t="str">
            <v>法国</v>
          </cell>
          <cell r="C361" t="str">
            <v>糖果</v>
          </cell>
          <cell r="D361">
            <v>654.375</v>
          </cell>
        </row>
        <row r="362">
          <cell r="A362">
            <v>34997</v>
          </cell>
          <cell r="B362" t="str">
            <v>法国</v>
          </cell>
          <cell r="C362" t="str">
            <v>乳制品</v>
          </cell>
          <cell r="D362">
            <v>187.5</v>
          </cell>
        </row>
        <row r="363">
          <cell r="A363">
            <v>34997</v>
          </cell>
          <cell r="B363" t="str">
            <v>法国</v>
          </cell>
          <cell r="C363" t="str">
            <v>面食/谷类</v>
          </cell>
          <cell r="D363">
            <v>420</v>
          </cell>
        </row>
        <row r="364">
          <cell r="A364">
            <v>34998</v>
          </cell>
          <cell r="B364" t="str">
            <v>法国</v>
          </cell>
          <cell r="C364" t="str">
            <v>糖果</v>
          </cell>
          <cell r="D364">
            <v>248.39999958872795</v>
          </cell>
        </row>
        <row r="365">
          <cell r="A365">
            <v>34998</v>
          </cell>
          <cell r="B365" t="str">
            <v>法国</v>
          </cell>
          <cell r="C365" t="str">
            <v>糖果</v>
          </cell>
          <cell r="D365">
            <v>107.99999982118607</v>
          </cell>
        </row>
        <row r="366">
          <cell r="A366">
            <v>34998</v>
          </cell>
          <cell r="B366" t="str">
            <v>法国</v>
          </cell>
          <cell r="C366" t="str">
            <v>面食/谷类</v>
          </cell>
          <cell r="D366">
            <v>931</v>
          </cell>
        </row>
        <row r="367">
          <cell r="A367">
            <v>34999</v>
          </cell>
          <cell r="B367" t="str">
            <v>英国</v>
          </cell>
          <cell r="C367" t="str">
            <v>海洋食品</v>
          </cell>
          <cell r="D367">
            <v>368</v>
          </cell>
        </row>
        <row r="368">
          <cell r="A368">
            <v>34999</v>
          </cell>
          <cell r="B368" t="str">
            <v>英国</v>
          </cell>
          <cell r="C368" t="str">
            <v>糖果</v>
          </cell>
          <cell r="D368">
            <v>380</v>
          </cell>
        </row>
        <row r="369">
          <cell r="A369">
            <v>34999</v>
          </cell>
          <cell r="B369" t="str">
            <v>英国</v>
          </cell>
          <cell r="C369" t="str">
            <v>乳制品</v>
          </cell>
          <cell r="D369">
            <v>1020</v>
          </cell>
        </row>
        <row r="370">
          <cell r="A370">
            <v>35006</v>
          </cell>
          <cell r="B370" t="str">
            <v>英国</v>
          </cell>
          <cell r="C370" t="str">
            <v>饮料</v>
          </cell>
          <cell r="D370">
            <v>540</v>
          </cell>
        </row>
        <row r="371">
          <cell r="A371">
            <v>35006</v>
          </cell>
          <cell r="B371" t="str">
            <v>英国</v>
          </cell>
          <cell r="C371" t="str">
            <v>肉/家禽</v>
          </cell>
          <cell r="D371">
            <v>4951.6000000000004</v>
          </cell>
        </row>
        <row r="372">
          <cell r="A372">
            <v>35006</v>
          </cell>
          <cell r="B372" t="str">
            <v>英国</v>
          </cell>
          <cell r="C372" t="str">
            <v>饮料</v>
          </cell>
          <cell r="D372">
            <v>1840</v>
          </cell>
        </row>
        <row r="373">
          <cell r="A373">
            <v>35006</v>
          </cell>
          <cell r="B373" t="str">
            <v>英国</v>
          </cell>
          <cell r="C373" t="str">
            <v>香料</v>
          </cell>
          <cell r="D373">
            <v>466.8</v>
          </cell>
        </row>
        <row r="374">
          <cell r="A374">
            <v>35006</v>
          </cell>
          <cell r="B374" t="str">
            <v>英国</v>
          </cell>
          <cell r="C374" t="str">
            <v>糖果</v>
          </cell>
          <cell r="D374">
            <v>2366.4</v>
          </cell>
        </row>
        <row r="375">
          <cell r="A375">
            <v>35009</v>
          </cell>
          <cell r="B375" t="str">
            <v>法国</v>
          </cell>
          <cell r="C375" t="str">
            <v>肉/家禽</v>
          </cell>
          <cell r="D375">
            <v>582</v>
          </cell>
        </row>
        <row r="376">
          <cell r="A376">
            <v>35009</v>
          </cell>
          <cell r="B376" t="str">
            <v>法国</v>
          </cell>
          <cell r="C376" t="str">
            <v>肉/家禽</v>
          </cell>
          <cell r="D376">
            <v>379.94999733567238</v>
          </cell>
        </row>
        <row r="377">
          <cell r="A377">
            <v>35009</v>
          </cell>
          <cell r="B377" t="str">
            <v>法国</v>
          </cell>
          <cell r="C377" t="str">
            <v>乳制品</v>
          </cell>
          <cell r="D377">
            <v>917.99999356269836</v>
          </cell>
        </row>
        <row r="378">
          <cell r="A378">
            <v>35009</v>
          </cell>
          <cell r="B378" t="str">
            <v>法国</v>
          </cell>
          <cell r="C378" t="str">
            <v>海洋食品</v>
          </cell>
          <cell r="D378">
            <v>191.24999865889549</v>
          </cell>
        </row>
        <row r="379">
          <cell r="A379">
            <v>35009</v>
          </cell>
          <cell r="B379" t="str">
            <v>英国</v>
          </cell>
          <cell r="C379" t="str">
            <v>农产品</v>
          </cell>
          <cell r="D379">
            <v>2700</v>
          </cell>
        </row>
        <row r="380">
          <cell r="A380">
            <v>35009</v>
          </cell>
          <cell r="B380" t="str">
            <v>英国</v>
          </cell>
          <cell r="C380" t="str">
            <v>乳制品</v>
          </cell>
          <cell r="D380">
            <v>1375</v>
          </cell>
        </row>
        <row r="381">
          <cell r="A381">
            <v>35009</v>
          </cell>
          <cell r="B381" t="str">
            <v>英国</v>
          </cell>
          <cell r="C381" t="str">
            <v>饮料</v>
          </cell>
          <cell r="D381">
            <v>750</v>
          </cell>
        </row>
        <row r="382">
          <cell r="A382">
            <v>35011</v>
          </cell>
          <cell r="B382" t="str">
            <v>法国</v>
          </cell>
          <cell r="C382" t="str">
            <v>肉/家禽</v>
          </cell>
          <cell r="D382">
            <v>780</v>
          </cell>
        </row>
        <row r="383">
          <cell r="A383">
            <v>35011</v>
          </cell>
          <cell r="B383" t="str">
            <v>法国</v>
          </cell>
          <cell r="C383" t="str">
            <v>海洋食品</v>
          </cell>
          <cell r="D383">
            <v>216</v>
          </cell>
        </row>
        <row r="384">
          <cell r="A384">
            <v>35012</v>
          </cell>
          <cell r="B384" t="str">
            <v>英国</v>
          </cell>
          <cell r="C384" t="str">
            <v>糖果</v>
          </cell>
          <cell r="D384">
            <v>114</v>
          </cell>
        </row>
        <row r="385">
          <cell r="A385">
            <v>35013</v>
          </cell>
          <cell r="B385" t="str">
            <v>法国</v>
          </cell>
          <cell r="C385" t="str">
            <v>饮料</v>
          </cell>
          <cell r="D385">
            <v>71.999999731779099</v>
          </cell>
        </row>
        <row r="386">
          <cell r="A386">
            <v>35013</v>
          </cell>
          <cell r="B386" t="str">
            <v>法国</v>
          </cell>
          <cell r="C386" t="str">
            <v>饮料</v>
          </cell>
          <cell r="D386">
            <v>134.39999949932098</v>
          </cell>
        </row>
        <row r="387">
          <cell r="A387">
            <v>35013</v>
          </cell>
          <cell r="B387" t="str">
            <v>法国</v>
          </cell>
          <cell r="C387" t="str">
            <v>糖果</v>
          </cell>
          <cell r="D387">
            <v>399.99999850988388</v>
          </cell>
        </row>
        <row r="388">
          <cell r="A388">
            <v>35013</v>
          </cell>
          <cell r="B388" t="str">
            <v>法国</v>
          </cell>
          <cell r="C388" t="str">
            <v>乳制品</v>
          </cell>
          <cell r="D388">
            <v>1031.9999961555004</v>
          </cell>
        </row>
        <row r="389">
          <cell r="A389">
            <v>35019</v>
          </cell>
          <cell r="B389" t="str">
            <v>法国</v>
          </cell>
          <cell r="C389" t="str">
            <v>糖果</v>
          </cell>
          <cell r="D389">
            <v>349</v>
          </cell>
        </row>
        <row r="390">
          <cell r="A390">
            <v>35019</v>
          </cell>
          <cell r="B390" t="str">
            <v>法国</v>
          </cell>
          <cell r="C390" t="str">
            <v>饮料</v>
          </cell>
          <cell r="D390">
            <v>1104</v>
          </cell>
        </row>
        <row r="391">
          <cell r="A391">
            <v>35019</v>
          </cell>
          <cell r="B391" t="str">
            <v>法国</v>
          </cell>
          <cell r="C391" t="str">
            <v>乳制品</v>
          </cell>
          <cell r="D391">
            <v>440</v>
          </cell>
        </row>
        <row r="392">
          <cell r="A392">
            <v>35020</v>
          </cell>
          <cell r="B392" t="str">
            <v>法国</v>
          </cell>
          <cell r="C392" t="str">
            <v>香料</v>
          </cell>
          <cell r="D392">
            <v>85.4</v>
          </cell>
        </row>
        <row r="393">
          <cell r="A393">
            <v>35020</v>
          </cell>
          <cell r="B393" t="str">
            <v>法国</v>
          </cell>
          <cell r="C393" t="str">
            <v>海洋食品</v>
          </cell>
          <cell r="D393">
            <v>95</v>
          </cell>
        </row>
        <row r="394">
          <cell r="A394">
            <v>35024</v>
          </cell>
          <cell r="B394" t="str">
            <v>法国</v>
          </cell>
          <cell r="C394" t="str">
            <v>糖果</v>
          </cell>
          <cell r="D394">
            <v>110.4</v>
          </cell>
        </row>
        <row r="395">
          <cell r="A395">
            <v>35024</v>
          </cell>
          <cell r="B395" t="str">
            <v>法国</v>
          </cell>
          <cell r="C395" t="str">
            <v>海洋食品</v>
          </cell>
          <cell r="D395">
            <v>405.3</v>
          </cell>
        </row>
        <row r="396">
          <cell r="A396">
            <v>35024</v>
          </cell>
          <cell r="B396" t="str">
            <v>法国</v>
          </cell>
          <cell r="C396" t="str">
            <v>肉/家禽</v>
          </cell>
          <cell r="D396">
            <v>3936</v>
          </cell>
        </row>
        <row r="397">
          <cell r="A397">
            <v>35025</v>
          </cell>
          <cell r="B397" t="str">
            <v>法国</v>
          </cell>
          <cell r="C397" t="str">
            <v>海洋食品</v>
          </cell>
          <cell r="D397">
            <v>558</v>
          </cell>
        </row>
        <row r="398">
          <cell r="A398">
            <v>35025</v>
          </cell>
          <cell r="B398" t="str">
            <v>法国</v>
          </cell>
          <cell r="C398" t="str">
            <v>糖果</v>
          </cell>
          <cell r="D398">
            <v>936.9</v>
          </cell>
        </row>
        <row r="399">
          <cell r="A399">
            <v>35025</v>
          </cell>
          <cell r="B399" t="str">
            <v>法国</v>
          </cell>
          <cell r="C399" t="str">
            <v>海洋食品</v>
          </cell>
          <cell r="D399">
            <v>1045</v>
          </cell>
        </row>
        <row r="400">
          <cell r="A400">
            <v>35025</v>
          </cell>
          <cell r="B400" t="str">
            <v>法国</v>
          </cell>
          <cell r="C400" t="str">
            <v>海洋食品</v>
          </cell>
          <cell r="D400">
            <v>288</v>
          </cell>
        </row>
        <row r="401">
          <cell r="A401">
            <v>35025</v>
          </cell>
          <cell r="B401" t="str">
            <v>法国</v>
          </cell>
          <cell r="C401" t="str">
            <v>饮料</v>
          </cell>
          <cell r="D401">
            <v>427.5</v>
          </cell>
        </row>
        <row r="402">
          <cell r="A402">
            <v>35025</v>
          </cell>
          <cell r="B402" t="str">
            <v>法国</v>
          </cell>
          <cell r="C402" t="str">
            <v>肉/家禽</v>
          </cell>
          <cell r="D402">
            <v>789.75</v>
          </cell>
        </row>
        <row r="403">
          <cell r="A403">
            <v>35025</v>
          </cell>
          <cell r="B403" t="str">
            <v>法国</v>
          </cell>
          <cell r="C403" t="str">
            <v>糖果</v>
          </cell>
          <cell r="D403">
            <v>356.25</v>
          </cell>
        </row>
        <row r="404">
          <cell r="A404">
            <v>35025</v>
          </cell>
          <cell r="B404" t="str">
            <v>法国</v>
          </cell>
          <cell r="C404" t="str">
            <v>面食/谷类</v>
          </cell>
          <cell r="D404">
            <v>513</v>
          </cell>
        </row>
        <row r="405">
          <cell r="A405">
            <v>35025</v>
          </cell>
          <cell r="B405" t="str">
            <v>法国</v>
          </cell>
          <cell r="C405" t="str">
            <v>海洋食品</v>
          </cell>
          <cell r="D405">
            <v>119.25</v>
          </cell>
        </row>
        <row r="406">
          <cell r="A406">
            <v>35027</v>
          </cell>
          <cell r="B406" t="str">
            <v>英国</v>
          </cell>
          <cell r="C406" t="str">
            <v>糖果</v>
          </cell>
          <cell r="D406">
            <v>303.99999976158142</v>
          </cell>
        </row>
        <row r="407">
          <cell r="A407">
            <v>35027</v>
          </cell>
          <cell r="B407" t="str">
            <v>英国</v>
          </cell>
          <cell r="C407" t="str">
            <v>肉/家禽</v>
          </cell>
          <cell r="D407">
            <v>111.75</v>
          </cell>
        </row>
        <row r="408">
          <cell r="A408">
            <v>35027</v>
          </cell>
          <cell r="B408" t="str">
            <v>英国</v>
          </cell>
          <cell r="C408" t="str">
            <v>乳制品</v>
          </cell>
          <cell r="D408">
            <v>854.99999932944775</v>
          </cell>
        </row>
        <row r="409">
          <cell r="A409">
            <v>35030</v>
          </cell>
          <cell r="B409" t="str">
            <v>英国</v>
          </cell>
          <cell r="C409" t="str">
            <v>乳制品</v>
          </cell>
          <cell r="D409">
            <v>1368</v>
          </cell>
        </row>
        <row r="410">
          <cell r="A410">
            <v>35030</v>
          </cell>
          <cell r="B410" t="str">
            <v>英国</v>
          </cell>
          <cell r="C410" t="str">
            <v>糖果</v>
          </cell>
          <cell r="D410">
            <v>349</v>
          </cell>
        </row>
        <row r="411">
          <cell r="A411">
            <v>35030</v>
          </cell>
          <cell r="B411" t="str">
            <v>英国</v>
          </cell>
          <cell r="C411" t="str">
            <v>海洋食品</v>
          </cell>
          <cell r="D411">
            <v>760</v>
          </cell>
        </row>
        <row r="412">
          <cell r="A412">
            <v>35030</v>
          </cell>
          <cell r="B412" t="str">
            <v>英国</v>
          </cell>
          <cell r="C412" t="str">
            <v>糖果</v>
          </cell>
          <cell r="D412">
            <v>986</v>
          </cell>
        </row>
        <row r="413">
          <cell r="A413">
            <v>35030</v>
          </cell>
          <cell r="B413" t="str">
            <v>法国</v>
          </cell>
          <cell r="C413" t="str">
            <v>海洋食品</v>
          </cell>
          <cell r="D413">
            <v>562.5</v>
          </cell>
        </row>
        <row r="414">
          <cell r="A414">
            <v>35030</v>
          </cell>
          <cell r="B414" t="str">
            <v>法国</v>
          </cell>
          <cell r="C414" t="str">
            <v>海洋食品</v>
          </cell>
          <cell r="D414">
            <v>58.252499999999998</v>
          </cell>
        </row>
        <row r="415">
          <cell r="A415">
            <v>35030</v>
          </cell>
          <cell r="B415" t="str">
            <v>法国</v>
          </cell>
          <cell r="C415" t="str">
            <v>肉/家禽</v>
          </cell>
          <cell r="D415">
            <v>223.5</v>
          </cell>
        </row>
        <row r="416">
          <cell r="A416">
            <v>35032</v>
          </cell>
          <cell r="B416" t="str">
            <v>英国</v>
          </cell>
          <cell r="C416" t="str">
            <v>香料</v>
          </cell>
          <cell r="D416">
            <v>923.87499927543104</v>
          </cell>
        </row>
        <row r="417">
          <cell r="A417">
            <v>35032</v>
          </cell>
          <cell r="B417" t="str">
            <v>法国</v>
          </cell>
          <cell r="C417" t="str">
            <v>饮料</v>
          </cell>
          <cell r="D417">
            <v>57</v>
          </cell>
        </row>
        <row r="418">
          <cell r="A418">
            <v>35032</v>
          </cell>
          <cell r="B418" t="str">
            <v>法国</v>
          </cell>
          <cell r="C418" t="str">
            <v>乳制品</v>
          </cell>
          <cell r="D418">
            <v>625</v>
          </cell>
        </row>
        <row r="419">
          <cell r="A419">
            <v>35032</v>
          </cell>
          <cell r="B419" t="str">
            <v>法国</v>
          </cell>
          <cell r="C419" t="str">
            <v>糖果</v>
          </cell>
          <cell r="D419">
            <v>562.5</v>
          </cell>
        </row>
        <row r="420">
          <cell r="A420">
            <v>35032</v>
          </cell>
          <cell r="B420" t="str">
            <v>法国</v>
          </cell>
          <cell r="C420" t="str">
            <v>饮料</v>
          </cell>
          <cell r="D420">
            <v>325.5</v>
          </cell>
        </row>
        <row r="421">
          <cell r="A421">
            <v>35033</v>
          </cell>
          <cell r="B421" t="str">
            <v>法国</v>
          </cell>
          <cell r="C421" t="str">
            <v>糖果</v>
          </cell>
          <cell r="D421">
            <v>468.45</v>
          </cell>
        </row>
        <row r="422">
          <cell r="A422">
            <v>35044</v>
          </cell>
          <cell r="B422" t="str">
            <v>法国</v>
          </cell>
          <cell r="C422" t="str">
            <v>香料</v>
          </cell>
          <cell r="D422">
            <v>512.99999915063381</v>
          </cell>
        </row>
        <row r="423">
          <cell r="A423">
            <v>35044</v>
          </cell>
          <cell r="B423" t="str">
            <v>法国</v>
          </cell>
          <cell r="C423" t="str">
            <v>香料</v>
          </cell>
          <cell r="D423">
            <v>23.399999961256981</v>
          </cell>
        </row>
        <row r="424">
          <cell r="A424">
            <v>35047</v>
          </cell>
          <cell r="B424" t="str">
            <v>法国</v>
          </cell>
          <cell r="C424" t="str">
            <v>农产品</v>
          </cell>
          <cell r="D424">
            <v>182.39999932050705</v>
          </cell>
        </row>
        <row r="425">
          <cell r="A425">
            <v>35047</v>
          </cell>
          <cell r="B425" t="str">
            <v>法国</v>
          </cell>
          <cell r="C425" t="str">
            <v>饮料</v>
          </cell>
          <cell r="D425">
            <v>503.99999812245369</v>
          </cell>
        </row>
        <row r="426">
          <cell r="A426">
            <v>35047</v>
          </cell>
          <cell r="B426" t="str">
            <v>法国</v>
          </cell>
          <cell r="C426" t="str">
            <v>海洋食品</v>
          </cell>
          <cell r="D426">
            <v>303.99999886751175</v>
          </cell>
        </row>
        <row r="427">
          <cell r="A427">
            <v>35047</v>
          </cell>
          <cell r="B427" t="str">
            <v>法国</v>
          </cell>
          <cell r="C427" t="str">
            <v>面食/谷类</v>
          </cell>
          <cell r="D427">
            <v>425.59999841451645</v>
          </cell>
        </row>
        <row r="428">
          <cell r="A428">
            <v>35052</v>
          </cell>
          <cell r="B428" t="str">
            <v>英国</v>
          </cell>
          <cell r="C428" t="str">
            <v>海洋食品</v>
          </cell>
          <cell r="D428">
            <v>1500</v>
          </cell>
        </row>
        <row r="429">
          <cell r="A429">
            <v>35052</v>
          </cell>
          <cell r="B429" t="str">
            <v>英国</v>
          </cell>
          <cell r="C429" t="str">
            <v>香料</v>
          </cell>
          <cell r="D429">
            <v>311.2</v>
          </cell>
        </row>
        <row r="430">
          <cell r="A430">
            <v>35052</v>
          </cell>
          <cell r="B430" t="str">
            <v>英国</v>
          </cell>
          <cell r="C430" t="str">
            <v>乳制品</v>
          </cell>
          <cell r="D430">
            <v>2475</v>
          </cell>
        </row>
        <row r="431">
          <cell r="A431">
            <v>35052</v>
          </cell>
          <cell r="B431" t="str">
            <v>英国</v>
          </cell>
          <cell r="C431" t="str">
            <v>乳制品</v>
          </cell>
          <cell r="D431">
            <v>243.6</v>
          </cell>
        </row>
        <row r="432">
          <cell r="A432">
            <v>35054</v>
          </cell>
          <cell r="B432" t="str">
            <v>法国</v>
          </cell>
          <cell r="C432" t="str">
            <v>面食/谷类</v>
          </cell>
          <cell r="D432">
            <v>396</v>
          </cell>
        </row>
        <row r="433">
          <cell r="A433">
            <v>35054</v>
          </cell>
          <cell r="B433" t="str">
            <v>法国</v>
          </cell>
          <cell r="C433" t="str">
            <v>海洋食品</v>
          </cell>
          <cell r="D433">
            <v>736</v>
          </cell>
        </row>
        <row r="434">
          <cell r="A434">
            <v>35054</v>
          </cell>
          <cell r="B434" t="str">
            <v>法国</v>
          </cell>
          <cell r="C434" t="str">
            <v>面食/谷类</v>
          </cell>
          <cell r="D434">
            <v>1064</v>
          </cell>
        </row>
        <row r="435">
          <cell r="A435">
            <v>35061</v>
          </cell>
          <cell r="B435" t="str">
            <v>法国</v>
          </cell>
          <cell r="C435" t="str">
            <v>海洋食品</v>
          </cell>
          <cell r="D435">
            <v>1049.9999960884452</v>
          </cell>
        </row>
        <row r="436">
          <cell r="A436">
            <v>35061</v>
          </cell>
          <cell r="B436" t="str">
            <v>法国</v>
          </cell>
          <cell r="C436" t="str">
            <v>海洋食品</v>
          </cell>
          <cell r="D436">
            <v>303.99999886751175</v>
          </cell>
        </row>
        <row r="437">
          <cell r="A437">
            <v>35061</v>
          </cell>
          <cell r="B437" t="str">
            <v>法国</v>
          </cell>
          <cell r="C437" t="str">
            <v>糖果</v>
          </cell>
          <cell r="D437">
            <v>59.999999776482582</v>
          </cell>
        </row>
        <row r="438">
          <cell r="A438">
            <v>35061</v>
          </cell>
          <cell r="B438" t="str">
            <v>法国</v>
          </cell>
          <cell r="C438" t="str">
            <v>乳制品</v>
          </cell>
          <cell r="D438">
            <v>575.99999785423279</v>
          </cell>
        </row>
        <row r="439">
          <cell r="A439">
            <v>35061</v>
          </cell>
          <cell r="B439" t="str">
            <v>法国</v>
          </cell>
          <cell r="C439" t="str">
            <v>饮料</v>
          </cell>
          <cell r="D439">
            <v>420</v>
          </cell>
        </row>
        <row r="440">
          <cell r="A440">
            <v>35061</v>
          </cell>
          <cell r="B440" t="str">
            <v>法国</v>
          </cell>
          <cell r="C440" t="str">
            <v>乳制品</v>
          </cell>
          <cell r="D440">
            <v>385</v>
          </cell>
        </row>
        <row r="441">
          <cell r="A441">
            <v>35061</v>
          </cell>
          <cell r="B441" t="str">
            <v>法国</v>
          </cell>
          <cell r="C441" t="str">
            <v>糖果</v>
          </cell>
          <cell r="D441">
            <v>1479</v>
          </cell>
        </row>
        <row r="442">
          <cell r="A442">
            <v>35061</v>
          </cell>
          <cell r="B442" t="str">
            <v>法国</v>
          </cell>
          <cell r="C442" t="str">
            <v>面食/谷类</v>
          </cell>
          <cell r="D442">
            <v>798</v>
          </cell>
        </row>
        <row r="443">
          <cell r="A443">
            <v>35066</v>
          </cell>
          <cell r="B443" t="str">
            <v>法国</v>
          </cell>
          <cell r="C443" t="str">
            <v>糖果</v>
          </cell>
          <cell r="D443">
            <v>367.5</v>
          </cell>
        </row>
        <row r="444">
          <cell r="A444">
            <v>35066</v>
          </cell>
          <cell r="B444" t="str">
            <v>法国</v>
          </cell>
          <cell r="C444" t="str">
            <v>饮料</v>
          </cell>
          <cell r="D444">
            <v>139.5</v>
          </cell>
        </row>
        <row r="445">
          <cell r="A445">
            <v>35068</v>
          </cell>
          <cell r="B445" t="str">
            <v>英国</v>
          </cell>
          <cell r="C445" t="str">
            <v>香料</v>
          </cell>
          <cell r="D445">
            <v>1515.5999974906445</v>
          </cell>
        </row>
        <row r="446">
          <cell r="A446">
            <v>35069</v>
          </cell>
          <cell r="B446" t="str">
            <v>英国</v>
          </cell>
          <cell r="C446" t="str">
            <v>饮料</v>
          </cell>
          <cell r="D446">
            <v>760</v>
          </cell>
        </row>
        <row r="447">
          <cell r="A447">
            <v>35069</v>
          </cell>
          <cell r="B447" t="str">
            <v>英国</v>
          </cell>
          <cell r="C447" t="str">
            <v>农产品</v>
          </cell>
          <cell r="D447">
            <v>1050</v>
          </cell>
        </row>
        <row r="448">
          <cell r="A448">
            <v>35069</v>
          </cell>
          <cell r="B448" t="str">
            <v>英国</v>
          </cell>
          <cell r="C448" t="str">
            <v>糖果</v>
          </cell>
          <cell r="D448">
            <v>500</v>
          </cell>
        </row>
        <row r="449">
          <cell r="A449">
            <v>35074</v>
          </cell>
          <cell r="B449" t="str">
            <v>英国</v>
          </cell>
          <cell r="C449" t="str">
            <v>肉/家禽</v>
          </cell>
          <cell r="D449">
            <v>2228.2199999999998</v>
          </cell>
        </row>
        <row r="450">
          <cell r="A450">
            <v>35074</v>
          </cell>
          <cell r="B450" t="str">
            <v>英国</v>
          </cell>
          <cell r="C450" t="str">
            <v>乳制品</v>
          </cell>
          <cell r="D450">
            <v>1375</v>
          </cell>
        </row>
        <row r="451">
          <cell r="A451">
            <v>35076</v>
          </cell>
          <cell r="B451" t="str">
            <v>法国</v>
          </cell>
          <cell r="C451" t="str">
            <v>海洋食品</v>
          </cell>
          <cell r="D451">
            <v>186</v>
          </cell>
        </row>
        <row r="452">
          <cell r="A452">
            <v>35076</v>
          </cell>
          <cell r="B452" t="str">
            <v>法国</v>
          </cell>
          <cell r="C452" t="str">
            <v>饮料</v>
          </cell>
          <cell r="D452">
            <v>42</v>
          </cell>
        </row>
        <row r="453">
          <cell r="A453">
            <v>35080</v>
          </cell>
          <cell r="B453" t="str">
            <v>英国</v>
          </cell>
          <cell r="C453" t="str">
            <v>糖果</v>
          </cell>
          <cell r="D453">
            <v>349</v>
          </cell>
        </row>
        <row r="454">
          <cell r="A454">
            <v>35080</v>
          </cell>
          <cell r="B454" t="str">
            <v>英国</v>
          </cell>
          <cell r="C454" t="str">
            <v>糖果</v>
          </cell>
          <cell r="D454">
            <v>986</v>
          </cell>
        </row>
        <row r="455">
          <cell r="A455">
            <v>35086</v>
          </cell>
          <cell r="B455" t="str">
            <v>英国</v>
          </cell>
          <cell r="C455" t="str">
            <v>糖果</v>
          </cell>
          <cell r="D455">
            <v>436.99999965727329</v>
          </cell>
        </row>
        <row r="456">
          <cell r="A456">
            <v>35086</v>
          </cell>
          <cell r="B456" t="str">
            <v>英国</v>
          </cell>
          <cell r="C456" t="str">
            <v>饮料</v>
          </cell>
          <cell r="D456">
            <v>294.499999769032</v>
          </cell>
        </row>
        <row r="457">
          <cell r="A457">
            <v>35087</v>
          </cell>
          <cell r="B457" t="str">
            <v>英国</v>
          </cell>
          <cell r="C457" t="str">
            <v>肉/家禽</v>
          </cell>
          <cell r="D457">
            <v>1646.4069987087696</v>
          </cell>
        </row>
        <row r="458">
          <cell r="A458">
            <v>35087</v>
          </cell>
          <cell r="B458" t="str">
            <v>英国</v>
          </cell>
          <cell r="C458" t="str">
            <v>海洋食品</v>
          </cell>
          <cell r="D458">
            <v>183.34999985620379</v>
          </cell>
        </row>
        <row r="459">
          <cell r="A459">
            <v>35089</v>
          </cell>
          <cell r="B459" t="str">
            <v>英国</v>
          </cell>
          <cell r="C459" t="str">
            <v>乳制品</v>
          </cell>
          <cell r="D459">
            <v>420</v>
          </cell>
        </row>
        <row r="460">
          <cell r="A460">
            <v>35090</v>
          </cell>
          <cell r="B460" t="str">
            <v>英国</v>
          </cell>
          <cell r="C460" t="str">
            <v>海洋食品</v>
          </cell>
          <cell r="D460">
            <v>101.99999928474426</v>
          </cell>
        </row>
        <row r="461">
          <cell r="A461">
            <v>35090</v>
          </cell>
          <cell r="B461" t="str">
            <v>英国</v>
          </cell>
          <cell r="C461" t="str">
            <v>饮料</v>
          </cell>
          <cell r="D461">
            <v>76.499999463558197</v>
          </cell>
        </row>
        <row r="462">
          <cell r="A462">
            <v>35090</v>
          </cell>
          <cell r="B462" t="str">
            <v>英国</v>
          </cell>
          <cell r="C462" t="str">
            <v>乳制品</v>
          </cell>
          <cell r="D462">
            <v>1375</v>
          </cell>
        </row>
        <row r="463">
          <cell r="A463">
            <v>35094</v>
          </cell>
          <cell r="B463" t="str">
            <v>法国</v>
          </cell>
          <cell r="C463" t="str">
            <v>饮料</v>
          </cell>
          <cell r="D463">
            <v>140</v>
          </cell>
        </row>
        <row r="464">
          <cell r="A464">
            <v>35094</v>
          </cell>
          <cell r="B464" t="str">
            <v>法国</v>
          </cell>
          <cell r="C464" t="str">
            <v>饮料</v>
          </cell>
          <cell r="D464">
            <v>2635</v>
          </cell>
        </row>
        <row r="465">
          <cell r="A465">
            <v>35096</v>
          </cell>
          <cell r="B465" t="str">
            <v>法国</v>
          </cell>
          <cell r="C465" t="str">
            <v>面食/谷类</v>
          </cell>
          <cell r="D465">
            <v>645.999995470047</v>
          </cell>
        </row>
        <row r="466">
          <cell r="A466">
            <v>35096</v>
          </cell>
          <cell r="B466" t="str">
            <v>法国</v>
          </cell>
          <cell r="C466" t="str">
            <v>饮料</v>
          </cell>
          <cell r="D466">
            <v>764.99999463558197</v>
          </cell>
        </row>
        <row r="467">
          <cell r="A467">
            <v>35100</v>
          </cell>
          <cell r="B467" t="str">
            <v>法国</v>
          </cell>
          <cell r="C467" t="str">
            <v>乳制品</v>
          </cell>
          <cell r="D467">
            <v>40</v>
          </cell>
        </row>
        <row r="468">
          <cell r="A468">
            <v>35101</v>
          </cell>
          <cell r="B468" t="str">
            <v>法国</v>
          </cell>
          <cell r="C468" t="str">
            <v>饮料</v>
          </cell>
          <cell r="D468">
            <v>7509.749994110316</v>
          </cell>
        </row>
        <row r="469">
          <cell r="A469">
            <v>35101</v>
          </cell>
          <cell r="B469" t="str">
            <v>法国</v>
          </cell>
          <cell r="C469" t="str">
            <v>糖果</v>
          </cell>
          <cell r="D469">
            <v>936.69999926537275</v>
          </cell>
        </row>
        <row r="470">
          <cell r="A470">
            <v>35101</v>
          </cell>
          <cell r="B470" t="str">
            <v>英国</v>
          </cell>
          <cell r="C470" t="str">
            <v>糖果</v>
          </cell>
          <cell r="D470">
            <v>1061.8199925541878</v>
          </cell>
        </row>
        <row r="471">
          <cell r="A471">
            <v>35101</v>
          </cell>
          <cell r="B471" t="str">
            <v>英国</v>
          </cell>
          <cell r="C471" t="str">
            <v>饮料</v>
          </cell>
          <cell r="D471">
            <v>7905</v>
          </cell>
        </row>
        <row r="472">
          <cell r="A472">
            <v>35101</v>
          </cell>
          <cell r="B472" t="str">
            <v>英国</v>
          </cell>
          <cell r="C472" t="str">
            <v>海洋食品</v>
          </cell>
          <cell r="D472">
            <v>938.39999341964722</v>
          </cell>
        </row>
        <row r="473">
          <cell r="A473">
            <v>35101</v>
          </cell>
          <cell r="B473" t="str">
            <v>英国</v>
          </cell>
          <cell r="C473" t="str">
            <v>糖果</v>
          </cell>
          <cell r="D473">
            <v>1047.6249926537275</v>
          </cell>
        </row>
        <row r="474">
          <cell r="A474">
            <v>35102</v>
          </cell>
          <cell r="B474" t="str">
            <v>法国</v>
          </cell>
          <cell r="C474" t="str">
            <v>面食/谷类</v>
          </cell>
          <cell r="D474">
            <v>1140</v>
          </cell>
        </row>
        <row r="475">
          <cell r="A475">
            <v>35103</v>
          </cell>
          <cell r="B475" t="str">
            <v>法国</v>
          </cell>
          <cell r="C475" t="str">
            <v>饮料</v>
          </cell>
          <cell r="D475">
            <v>360</v>
          </cell>
        </row>
        <row r="476">
          <cell r="A476">
            <v>35103</v>
          </cell>
          <cell r="B476" t="str">
            <v>法国</v>
          </cell>
          <cell r="C476" t="str">
            <v>农产品</v>
          </cell>
          <cell r="D476">
            <v>318</v>
          </cell>
        </row>
        <row r="477">
          <cell r="A477">
            <v>35103</v>
          </cell>
          <cell r="B477" t="str">
            <v>法国</v>
          </cell>
          <cell r="C477" t="str">
            <v>糖果</v>
          </cell>
          <cell r="D477">
            <v>147.9</v>
          </cell>
        </row>
        <row r="478">
          <cell r="A478">
            <v>35103</v>
          </cell>
          <cell r="B478" t="str">
            <v>法国</v>
          </cell>
          <cell r="C478" t="str">
            <v>饮料</v>
          </cell>
          <cell r="D478">
            <v>90</v>
          </cell>
        </row>
        <row r="479">
          <cell r="A479">
            <v>35104</v>
          </cell>
          <cell r="B479" t="str">
            <v>英国</v>
          </cell>
          <cell r="C479" t="str">
            <v>糖果</v>
          </cell>
          <cell r="D479">
            <v>374.76</v>
          </cell>
        </row>
        <row r="480">
          <cell r="A480">
            <v>35104</v>
          </cell>
          <cell r="B480" t="str">
            <v>英国</v>
          </cell>
          <cell r="C480" t="str">
            <v>肉/家禽</v>
          </cell>
          <cell r="D480">
            <v>656</v>
          </cell>
        </row>
        <row r="481">
          <cell r="A481">
            <v>35110</v>
          </cell>
          <cell r="B481" t="str">
            <v>英国</v>
          </cell>
          <cell r="C481" t="str">
            <v>农产品</v>
          </cell>
          <cell r="D481">
            <v>539.99999910593033</v>
          </cell>
        </row>
        <row r="482">
          <cell r="A482">
            <v>35110</v>
          </cell>
          <cell r="B482" t="str">
            <v>英国</v>
          </cell>
          <cell r="C482" t="str">
            <v>乳制品</v>
          </cell>
          <cell r="D482">
            <v>101.24999983236194</v>
          </cell>
        </row>
        <row r="483">
          <cell r="A483">
            <v>35110</v>
          </cell>
          <cell r="B483" t="str">
            <v>英国</v>
          </cell>
          <cell r="C483" t="str">
            <v>肉/家禽</v>
          </cell>
          <cell r="D483">
            <v>265.67999956011772</v>
          </cell>
        </row>
        <row r="484">
          <cell r="A484">
            <v>35116</v>
          </cell>
          <cell r="B484" t="str">
            <v>英国</v>
          </cell>
          <cell r="C484" t="str">
            <v>面食/谷类</v>
          </cell>
          <cell r="D484">
            <v>566.99999906122684</v>
          </cell>
        </row>
        <row r="485">
          <cell r="A485">
            <v>35116</v>
          </cell>
          <cell r="B485" t="str">
            <v>英国</v>
          </cell>
          <cell r="C485" t="str">
            <v>饮料</v>
          </cell>
          <cell r="D485">
            <v>404.99999932944775</v>
          </cell>
        </row>
        <row r="486">
          <cell r="A486">
            <v>35116</v>
          </cell>
          <cell r="B486" t="str">
            <v>英国</v>
          </cell>
          <cell r="C486" t="str">
            <v>面食/谷类</v>
          </cell>
          <cell r="D486">
            <v>529.19999912381172</v>
          </cell>
        </row>
        <row r="487">
          <cell r="A487">
            <v>35116</v>
          </cell>
          <cell r="B487" t="str">
            <v>英国</v>
          </cell>
          <cell r="C487" t="str">
            <v>海洋食品</v>
          </cell>
          <cell r="D487">
            <v>715.49999881535769</v>
          </cell>
        </row>
        <row r="488">
          <cell r="A488">
            <v>35116</v>
          </cell>
          <cell r="B488" t="str">
            <v>英国</v>
          </cell>
          <cell r="C488" t="str">
            <v>面食/谷类</v>
          </cell>
          <cell r="D488">
            <v>1596</v>
          </cell>
        </row>
        <row r="489">
          <cell r="A489">
            <v>35117</v>
          </cell>
          <cell r="B489" t="str">
            <v>法国</v>
          </cell>
          <cell r="C489" t="str">
            <v>饮料</v>
          </cell>
          <cell r="D489">
            <v>1151.9999957084656</v>
          </cell>
        </row>
        <row r="490">
          <cell r="A490">
            <v>35117</v>
          </cell>
          <cell r="B490" t="str">
            <v>法国</v>
          </cell>
          <cell r="C490" t="str">
            <v>糖果</v>
          </cell>
          <cell r="D490">
            <v>88.319999670982369</v>
          </cell>
        </row>
        <row r="491">
          <cell r="A491">
            <v>35117</v>
          </cell>
          <cell r="B491" t="str">
            <v>法国</v>
          </cell>
          <cell r="C491" t="str">
            <v>海洋食品</v>
          </cell>
          <cell r="D491">
            <v>1247.9999953508377</v>
          </cell>
        </row>
        <row r="492">
          <cell r="A492">
            <v>35117</v>
          </cell>
          <cell r="B492" t="str">
            <v>法国</v>
          </cell>
          <cell r="C492" t="str">
            <v>海洋食品</v>
          </cell>
          <cell r="D492">
            <v>273.59999898076057</v>
          </cell>
        </row>
        <row r="493">
          <cell r="A493">
            <v>35117</v>
          </cell>
          <cell r="B493" t="str">
            <v>法国</v>
          </cell>
          <cell r="C493" t="str">
            <v>乳制品</v>
          </cell>
          <cell r="D493">
            <v>1223.9999954402447</v>
          </cell>
        </row>
        <row r="494">
          <cell r="A494">
            <v>35117</v>
          </cell>
          <cell r="B494" t="str">
            <v>法国</v>
          </cell>
          <cell r="C494" t="str">
            <v>乳制品</v>
          </cell>
          <cell r="D494">
            <v>945.99999647587538</v>
          </cell>
        </row>
        <row r="495">
          <cell r="A495">
            <v>35118</v>
          </cell>
          <cell r="B495" t="str">
            <v>英国</v>
          </cell>
          <cell r="C495" t="str">
            <v>香料</v>
          </cell>
          <cell r="D495">
            <v>490</v>
          </cell>
        </row>
        <row r="496">
          <cell r="A496">
            <v>35118</v>
          </cell>
          <cell r="B496" t="str">
            <v>英国</v>
          </cell>
          <cell r="C496" t="str">
            <v>糖果</v>
          </cell>
          <cell r="D496">
            <v>477.81899664938447</v>
          </cell>
        </row>
        <row r="497">
          <cell r="A497">
            <v>35121</v>
          </cell>
          <cell r="B497" t="str">
            <v>法国</v>
          </cell>
          <cell r="C497" t="str">
            <v>饮料</v>
          </cell>
          <cell r="D497">
            <v>285</v>
          </cell>
        </row>
        <row r="498">
          <cell r="A498">
            <v>35121</v>
          </cell>
          <cell r="B498" t="str">
            <v>法国</v>
          </cell>
          <cell r="C498" t="str">
            <v>肉/家禽</v>
          </cell>
          <cell r="D498">
            <v>234</v>
          </cell>
        </row>
        <row r="499">
          <cell r="A499">
            <v>35121</v>
          </cell>
          <cell r="B499" t="str">
            <v>法国</v>
          </cell>
          <cell r="C499" t="str">
            <v>糖果</v>
          </cell>
          <cell r="D499">
            <v>2465</v>
          </cell>
        </row>
        <row r="500">
          <cell r="A500">
            <v>35122</v>
          </cell>
          <cell r="B500" t="str">
            <v>英国</v>
          </cell>
          <cell r="C500" t="str">
            <v>海洋食品</v>
          </cell>
          <cell r="D500">
            <v>625</v>
          </cell>
        </row>
        <row r="501">
          <cell r="A501">
            <v>35122</v>
          </cell>
          <cell r="B501" t="str">
            <v>法国</v>
          </cell>
          <cell r="C501" t="str">
            <v>糖果</v>
          </cell>
          <cell r="D501">
            <v>872.5</v>
          </cell>
        </row>
        <row r="502">
          <cell r="A502">
            <v>35122</v>
          </cell>
          <cell r="B502" t="str">
            <v>法国</v>
          </cell>
          <cell r="C502" t="str">
            <v>乳制品</v>
          </cell>
          <cell r="D502">
            <v>175</v>
          </cell>
        </row>
        <row r="503">
          <cell r="A503">
            <v>35122</v>
          </cell>
          <cell r="B503" t="str">
            <v>法国</v>
          </cell>
          <cell r="C503" t="str">
            <v>面食/谷类</v>
          </cell>
          <cell r="D503">
            <v>912</v>
          </cell>
        </row>
        <row r="504">
          <cell r="A504">
            <v>35122</v>
          </cell>
          <cell r="B504" t="str">
            <v>法国</v>
          </cell>
          <cell r="C504" t="str">
            <v>香料</v>
          </cell>
          <cell r="D504">
            <v>268.38749811798334</v>
          </cell>
        </row>
        <row r="505">
          <cell r="A505">
            <v>35124</v>
          </cell>
          <cell r="B505" t="str">
            <v>英国</v>
          </cell>
          <cell r="C505" t="str">
            <v>饮料</v>
          </cell>
          <cell r="D505">
            <v>135</v>
          </cell>
        </row>
        <row r="506">
          <cell r="A506">
            <v>35124</v>
          </cell>
          <cell r="B506" t="str">
            <v>英国</v>
          </cell>
          <cell r="C506" t="str">
            <v>肉/家禽</v>
          </cell>
          <cell r="D506">
            <v>195.5625</v>
          </cell>
        </row>
        <row r="507">
          <cell r="A507">
            <v>35124</v>
          </cell>
          <cell r="B507" t="str">
            <v>英国</v>
          </cell>
          <cell r="C507" t="str">
            <v>面食/谷类</v>
          </cell>
          <cell r="D507">
            <v>748.125</v>
          </cell>
        </row>
        <row r="508">
          <cell r="A508">
            <v>35125</v>
          </cell>
          <cell r="B508" t="str">
            <v>法国</v>
          </cell>
          <cell r="C508" t="str">
            <v>肉/家禽</v>
          </cell>
          <cell r="D508">
            <v>1638</v>
          </cell>
        </row>
        <row r="509">
          <cell r="A509">
            <v>35125</v>
          </cell>
          <cell r="B509" t="str">
            <v>法国</v>
          </cell>
          <cell r="C509" t="str">
            <v>海洋食品</v>
          </cell>
          <cell r="D509">
            <v>1250</v>
          </cell>
        </row>
        <row r="510">
          <cell r="A510">
            <v>35125</v>
          </cell>
          <cell r="B510" t="str">
            <v>法国</v>
          </cell>
          <cell r="C510" t="str">
            <v>糖果</v>
          </cell>
          <cell r="D510">
            <v>400</v>
          </cell>
        </row>
        <row r="511">
          <cell r="A511">
            <v>35125</v>
          </cell>
          <cell r="B511" t="str">
            <v>法国</v>
          </cell>
          <cell r="C511" t="str">
            <v>乳制品</v>
          </cell>
          <cell r="D511">
            <v>87.5</v>
          </cell>
        </row>
        <row r="512">
          <cell r="A512">
            <v>35125</v>
          </cell>
          <cell r="B512" t="str">
            <v>法国</v>
          </cell>
          <cell r="C512" t="str">
            <v>糖果</v>
          </cell>
          <cell r="D512">
            <v>147.9</v>
          </cell>
        </row>
        <row r="513">
          <cell r="A513">
            <v>35125</v>
          </cell>
          <cell r="B513" t="str">
            <v>英国</v>
          </cell>
          <cell r="C513" t="str">
            <v>乳制品</v>
          </cell>
          <cell r="D513">
            <v>525</v>
          </cell>
        </row>
        <row r="514">
          <cell r="A514">
            <v>35125</v>
          </cell>
          <cell r="B514" t="str">
            <v>英国</v>
          </cell>
          <cell r="C514" t="str">
            <v>面食/谷类</v>
          </cell>
          <cell r="D514">
            <v>56</v>
          </cell>
        </row>
        <row r="515">
          <cell r="A515">
            <v>35128</v>
          </cell>
          <cell r="B515" t="str">
            <v>英国</v>
          </cell>
          <cell r="C515" t="str">
            <v>饮料</v>
          </cell>
          <cell r="D515">
            <v>15019.499988220632</v>
          </cell>
        </row>
        <row r="516">
          <cell r="A516">
            <v>35128</v>
          </cell>
          <cell r="B516" t="str">
            <v>英国</v>
          </cell>
          <cell r="C516" t="str">
            <v>饮料</v>
          </cell>
          <cell r="D516">
            <v>1367.9999989271164</v>
          </cell>
        </row>
        <row r="517">
          <cell r="A517">
            <v>35129</v>
          </cell>
          <cell r="B517" t="str">
            <v>法国</v>
          </cell>
          <cell r="C517" t="str">
            <v>肉/家禽</v>
          </cell>
          <cell r="D517">
            <v>98.4</v>
          </cell>
        </row>
        <row r="518">
          <cell r="A518">
            <v>35136</v>
          </cell>
          <cell r="B518" t="str">
            <v>英国</v>
          </cell>
          <cell r="C518" t="str">
            <v>糖果</v>
          </cell>
          <cell r="D518">
            <v>1538.9999987930059</v>
          </cell>
        </row>
        <row r="519">
          <cell r="A519">
            <v>35137</v>
          </cell>
          <cell r="B519" t="str">
            <v>法国</v>
          </cell>
          <cell r="C519" t="str">
            <v>面食/谷类</v>
          </cell>
          <cell r="D519">
            <v>350</v>
          </cell>
        </row>
        <row r="520">
          <cell r="A520">
            <v>35137</v>
          </cell>
          <cell r="B520" t="str">
            <v>法国</v>
          </cell>
          <cell r="C520" t="str">
            <v>糖果</v>
          </cell>
          <cell r="D520">
            <v>339.99999761581421</v>
          </cell>
        </row>
        <row r="521">
          <cell r="A521">
            <v>35137</v>
          </cell>
          <cell r="B521" t="str">
            <v>法国</v>
          </cell>
          <cell r="C521" t="str">
            <v>肉/家禽</v>
          </cell>
          <cell r="D521">
            <v>202.63999857902527</v>
          </cell>
        </row>
        <row r="522">
          <cell r="A522">
            <v>35138</v>
          </cell>
          <cell r="B522" t="str">
            <v>法国</v>
          </cell>
          <cell r="C522" t="str">
            <v>饮料</v>
          </cell>
          <cell r="D522">
            <v>36</v>
          </cell>
        </row>
        <row r="523">
          <cell r="A523">
            <v>35138</v>
          </cell>
          <cell r="B523" t="str">
            <v>法国</v>
          </cell>
          <cell r="C523" t="str">
            <v>糖果</v>
          </cell>
          <cell r="D523">
            <v>379.99999970197678</v>
          </cell>
        </row>
        <row r="524">
          <cell r="A524">
            <v>35138</v>
          </cell>
          <cell r="B524" t="str">
            <v>法国</v>
          </cell>
          <cell r="C524" t="str">
            <v>面食/谷类</v>
          </cell>
          <cell r="D524">
            <v>758.09999940544367</v>
          </cell>
        </row>
        <row r="525">
          <cell r="A525">
            <v>35138</v>
          </cell>
          <cell r="B525" t="str">
            <v>法国</v>
          </cell>
          <cell r="C525" t="str">
            <v>香料</v>
          </cell>
          <cell r="D525">
            <v>239.96999981179832</v>
          </cell>
        </row>
        <row r="526">
          <cell r="A526">
            <v>35142</v>
          </cell>
          <cell r="B526" t="str">
            <v>法国</v>
          </cell>
          <cell r="C526" t="str">
            <v>乳制品</v>
          </cell>
          <cell r="D526">
            <v>840</v>
          </cell>
        </row>
        <row r="527">
          <cell r="A527">
            <v>35142</v>
          </cell>
          <cell r="B527" t="str">
            <v>法国</v>
          </cell>
          <cell r="C527" t="str">
            <v>饮料</v>
          </cell>
          <cell r="D527">
            <v>10540</v>
          </cell>
        </row>
        <row r="528">
          <cell r="A528">
            <v>35143</v>
          </cell>
          <cell r="B528" t="str">
            <v>英国</v>
          </cell>
          <cell r="C528" t="str">
            <v>海洋食品</v>
          </cell>
          <cell r="D528">
            <v>368.93249971065671</v>
          </cell>
        </row>
        <row r="529">
          <cell r="A529">
            <v>35144</v>
          </cell>
          <cell r="B529" t="str">
            <v>英国</v>
          </cell>
          <cell r="C529" t="str">
            <v>香料</v>
          </cell>
          <cell r="D529">
            <v>1200</v>
          </cell>
        </row>
        <row r="530">
          <cell r="A530">
            <v>35144</v>
          </cell>
          <cell r="B530" t="str">
            <v>英国</v>
          </cell>
          <cell r="C530" t="str">
            <v>饮料</v>
          </cell>
          <cell r="D530">
            <v>45</v>
          </cell>
        </row>
        <row r="531">
          <cell r="A531">
            <v>35144</v>
          </cell>
          <cell r="B531" t="str">
            <v>英国</v>
          </cell>
          <cell r="C531" t="str">
            <v>肉/家禽</v>
          </cell>
          <cell r="D531">
            <v>2970.96</v>
          </cell>
        </row>
        <row r="532">
          <cell r="A532">
            <v>35144</v>
          </cell>
          <cell r="B532" t="str">
            <v>英国</v>
          </cell>
          <cell r="C532" t="str">
            <v>海洋食品</v>
          </cell>
          <cell r="D532">
            <v>906.15</v>
          </cell>
        </row>
        <row r="533">
          <cell r="A533">
            <v>35144</v>
          </cell>
          <cell r="B533" t="str">
            <v>英国</v>
          </cell>
          <cell r="C533" t="str">
            <v>海洋食品</v>
          </cell>
          <cell r="D533">
            <v>380</v>
          </cell>
        </row>
        <row r="534">
          <cell r="A534">
            <v>35144</v>
          </cell>
          <cell r="B534" t="str">
            <v>法国</v>
          </cell>
          <cell r="C534" t="str">
            <v>海洋食品</v>
          </cell>
          <cell r="D534">
            <v>159.59999987483025</v>
          </cell>
        </row>
        <row r="535">
          <cell r="A535">
            <v>35144</v>
          </cell>
          <cell r="B535" t="str">
            <v>法国</v>
          </cell>
          <cell r="C535" t="str">
            <v>乳制品</v>
          </cell>
          <cell r="D535">
            <v>1709.9999986588955</v>
          </cell>
        </row>
        <row r="536">
          <cell r="A536">
            <v>35144</v>
          </cell>
          <cell r="B536" t="str">
            <v>法国</v>
          </cell>
          <cell r="C536" t="str">
            <v>饮料</v>
          </cell>
          <cell r="D536">
            <v>883.499999307096</v>
          </cell>
        </row>
        <row r="537">
          <cell r="A537">
            <v>35150</v>
          </cell>
          <cell r="B537" t="str">
            <v>法国</v>
          </cell>
          <cell r="C537" t="str">
            <v>海洋食品</v>
          </cell>
          <cell r="D537">
            <v>198.75</v>
          </cell>
        </row>
        <row r="538">
          <cell r="A538">
            <v>35150</v>
          </cell>
          <cell r="B538" t="str">
            <v>法国</v>
          </cell>
          <cell r="C538" t="str">
            <v>糖果</v>
          </cell>
          <cell r="D538">
            <v>1725.5</v>
          </cell>
        </row>
        <row r="539">
          <cell r="A539">
            <v>35159</v>
          </cell>
          <cell r="B539" t="str">
            <v>英国</v>
          </cell>
          <cell r="C539" t="str">
            <v>糖果</v>
          </cell>
          <cell r="D539">
            <v>600</v>
          </cell>
        </row>
        <row r="540">
          <cell r="A540">
            <v>35159</v>
          </cell>
          <cell r="B540" t="str">
            <v>英国</v>
          </cell>
          <cell r="C540" t="str">
            <v>饮料</v>
          </cell>
          <cell r="D540">
            <v>379.75</v>
          </cell>
        </row>
        <row r="541">
          <cell r="A541">
            <v>35159</v>
          </cell>
          <cell r="B541" t="str">
            <v>英国</v>
          </cell>
          <cell r="C541" t="str">
            <v>香料</v>
          </cell>
          <cell r="D541">
            <v>195</v>
          </cell>
        </row>
        <row r="542">
          <cell r="A542">
            <v>35163</v>
          </cell>
          <cell r="B542" t="str">
            <v>英国</v>
          </cell>
          <cell r="C542" t="str">
            <v>香料</v>
          </cell>
          <cell r="D542">
            <v>500</v>
          </cell>
        </row>
        <row r="543">
          <cell r="A543">
            <v>35163</v>
          </cell>
          <cell r="B543" t="str">
            <v>法国</v>
          </cell>
          <cell r="C543" t="str">
            <v>海洋食品</v>
          </cell>
          <cell r="D543">
            <v>455.99999830126762</v>
          </cell>
        </row>
        <row r="544">
          <cell r="A544">
            <v>35164</v>
          </cell>
          <cell r="B544" t="str">
            <v>英国</v>
          </cell>
          <cell r="C544" t="str">
            <v>海洋食品</v>
          </cell>
          <cell r="D544">
            <v>90</v>
          </cell>
        </row>
        <row r="545">
          <cell r="A545">
            <v>35164</v>
          </cell>
          <cell r="B545" t="str">
            <v>英国</v>
          </cell>
          <cell r="C545" t="str">
            <v>饮料</v>
          </cell>
          <cell r="D545">
            <v>828</v>
          </cell>
        </row>
        <row r="546">
          <cell r="A546">
            <v>35164</v>
          </cell>
          <cell r="B546" t="str">
            <v>英国</v>
          </cell>
          <cell r="C546" t="str">
            <v>乳制品</v>
          </cell>
          <cell r="D546">
            <v>1249.5</v>
          </cell>
        </row>
        <row r="547">
          <cell r="A547">
            <v>35164</v>
          </cell>
          <cell r="B547" t="str">
            <v>英国</v>
          </cell>
          <cell r="C547" t="str">
            <v>乳制品</v>
          </cell>
          <cell r="D547">
            <v>564.375</v>
          </cell>
        </row>
        <row r="548">
          <cell r="A548">
            <v>35165</v>
          </cell>
          <cell r="B548" t="str">
            <v>法国</v>
          </cell>
          <cell r="C548" t="str">
            <v>乳制品</v>
          </cell>
          <cell r="D548">
            <v>412.5</v>
          </cell>
        </row>
        <row r="549">
          <cell r="A549">
            <v>35165</v>
          </cell>
          <cell r="B549" t="str">
            <v>法国</v>
          </cell>
          <cell r="C549" t="str">
            <v>糖果</v>
          </cell>
          <cell r="D549">
            <v>1109.25</v>
          </cell>
        </row>
        <row r="550">
          <cell r="A550">
            <v>35165</v>
          </cell>
          <cell r="B550" t="str">
            <v>法国</v>
          </cell>
          <cell r="C550" t="str">
            <v>糖果</v>
          </cell>
          <cell r="D550">
            <v>750</v>
          </cell>
        </row>
        <row r="551">
          <cell r="A551">
            <v>35165</v>
          </cell>
          <cell r="B551" t="str">
            <v>法国</v>
          </cell>
          <cell r="C551" t="str">
            <v>乳制品</v>
          </cell>
          <cell r="D551">
            <v>1740</v>
          </cell>
        </row>
        <row r="552">
          <cell r="A552">
            <v>35166</v>
          </cell>
          <cell r="B552" t="str">
            <v>英国</v>
          </cell>
          <cell r="C552" t="str">
            <v>海洋食品</v>
          </cell>
          <cell r="D552">
            <v>120</v>
          </cell>
        </row>
        <row r="553">
          <cell r="A553">
            <v>35166</v>
          </cell>
          <cell r="B553" t="str">
            <v>英国</v>
          </cell>
          <cell r="C553" t="str">
            <v>乳制品</v>
          </cell>
          <cell r="D553">
            <v>125</v>
          </cell>
        </row>
        <row r="554">
          <cell r="A554">
            <v>35170</v>
          </cell>
          <cell r="B554" t="str">
            <v>英国</v>
          </cell>
          <cell r="C554" t="str">
            <v>香料</v>
          </cell>
          <cell r="D554">
            <v>379.99999970197678</v>
          </cell>
        </row>
        <row r="555">
          <cell r="A555">
            <v>35170</v>
          </cell>
          <cell r="B555" t="str">
            <v>英国</v>
          </cell>
          <cell r="C555" t="str">
            <v>农产品</v>
          </cell>
          <cell r="D555">
            <v>91.2</v>
          </cell>
        </row>
        <row r="556">
          <cell r="A556">
            <v>35171</v>
          </cell>
          <cell r="B556" t="str">
            <v>英国</v>
          </cell>
          <cell r="C556" t="str">
            <v>糖果</v>
          </cell>
          <cell r="D556">
            <v>120</v>
          </cell>
        </row>
        <row r="557">
          <cell r="A557">
            <v>35171</v>
          </cell>
          <cell r="B557" t="str">
            <v>英国</v>
          </cell>
          <cell r="C557" t="str">
            <v>糖果</v>
          </cell>
          <cell r="D557">
            <v>133</v>
          </cell>
        </row>
        <row r="558">
          <cell r="A558">
            <v>35171</v>
          </cell>
          <cell r="B558" t="str">
            <v>英国</v>
          </cell>
          <cell r="C558" t="str">
            <v>农产品</v>
          </cell>
          <cell r="D558">
            <v>424</v>
          </cell>
        </row>
        <row r="559">
          <cell r="A559">
            <v>35173</v>
          </cell>
          <cell r="B559" t="str">
            <v>英国</v>
          </cell>
          <cell r="C559" t="str">
            <v>农产品</v>
          </cell>
          <cell r="D559">
            <v>1350</v>
          </cell>
        </row>
        <row r="560">
          <cell r="A560">
            <v>35173</v>
          </cell>
          <cell r="B560" t="str">
            <v>英国</v>
          </cell>
          <cell r="C560" t="str">
            <v>海洋食品</v>
          </cell>
          <cell r="D560">
            <v>462</v>
          </cell>
        </row>
        <row r="561">
          <cell r="A561">
            <v>35173</v>
          </cell>
          <cell r="B561" t="str">
            <v>英国</v>
          </cell>
          <cell r="C561" t="str">
            <v>肉/家禽</v>
          </cell>
          <cell r="D561">
            <v>656</v>
          </cell>
        </row>
        <row r="562">
          <cell r="A562">
            <v>35173</v>
          </cell>
          <cell r="B562" t="str">
            <v>英国</v>
          </cell>
          <cell r="C562" t="str">
            <v>乳制品</v>
          </cell>
          <cell r="D562">
            <v>324</v>
          </cell>
        </row>
        <row r="563">
          <cell r="A563">
            <v>35173</v>
          </cell>
          <cell r="B563" t="str">
            <v>英国</v>
          </cell>
          <cell r="C563" t="str">
            <v>饮料</v>
          </cell>
          <cell r="D563">
            <v>792</v>
          </cell>
        </row>
        <row r="564">
          <cell r="A564">
            <v>35174</v>
          </cell>
          <cell r="B564" t="str">
            <v>法国</v>
          </cell>
          <cell r="C564" t="str">
            <v>农产品</v>
          </cell>
          <cell r="D564">
            <v>848</v>
          </cell>
        </row>
        <row r="565">
          <cell r="A565">
            <v>35177</v>
          </cell>
          <cell r="B565" t="str">
            <v>英国</v>
          </cell>
          <cell r="C565" t="str">
            <v>糖果</v>
          </cell>
          <cell r="D565">
            <v>110.4</v>
          </cell>
        </row>
        <row r="566">
          <cell r="A566">
            <v>35177</v>
          </cell>
          <cell r="B566" t="str">
            <v>英国</v>
          </cell>
          <cell r="C566" t="str">
            <v>糖果</v>
          </cell>
          <cell r="D566">
            <v>800</v>
          </cell>
        </row>
        <row r="567">
          <cell r="A567">
            <v>35179</v>
          </cell>
          <cell r="B567" t="str">
            <v>法国</v>
          </cell>
          <cell r="C567" t="str">
            <v>香料</v>
          </cell>
          <cell r="D567">
            <v>439</v>
          </cell>
        </row>
        <row r="568">
          <cell r="A568">
            <v>35181</v>
          </cell>
          <cell r="B568" t="str">
            <v>法国</v>
          </cell>
          <cell r="C568" t="str">
            <v>海洋食品</v>
          </cell>
          <cell r="D568">
            <v>428.3999969959259</v>
          </cell>
        </row>
        <row r="569">
          <cell r="A569">
            <v>35181</v>
          </cell>
          <cell r="B569" t="str">
            <v>法国</v>
          </cell>
          <cell r="C569" t="str">
            <v>面食/谷类</v>
          </cell>
          <cell r="D569">
            <v>292.5</v>
          </cell>
        </row>
        <row r="570">
          <cell r="A570">
            <v>35184</v>
          </cell>
          <cell r="B570" t="str">
            <v>法国</v>
          </cell>
          <cell r="C570" t="str">
            <v>糖果</v>
          </cell>
          <cell r="D570">
            <v>959.75</v>
          </cell>
        </row>
        <row r="571">
          <cell r="A571">
            <v>35184</v>
          </cell>
          <cell r="B571" t="str">
            <v>法国</v>
          </cell>
          <cell r="C571" t="str">
            <v>饮料</v>
          </cell>
          <cell r="D571">
            <v>90</v>
          </cell>
        </row>
        <row r="572">
          <cell r="A572">
            <v>35184</v>
          </cell>
          <cell r="B572" t="str">
            <v>法国</v>
          </cell>
          <cell r="C572" t="str">
            <v>海洋食品</v>
          </cell>
          <cell r="D572">
            <v>760</v>
          </cell>
        </row>
        <row r="573">
          <cell r="A573">
            <v>35185</v>
          </cell>
          <cell r="B573" t="str">
            <v>法国</v>
          </cell>
          <cell r="C573" t="str">
            <v>农产品</v>
          </cell>
          <cell r="D573">
            <v>1800</v>
          </cell>
        </row>
        <row r="574">
          <cell r="A574">
            <v>35185</v>
          </cell>
          <cell r="B574" t="str">
            <v>法国</v>
          </cell>
          <cell r="C574" t="str">
            <v>糖果</v>
          </cell>
          <cell r="D574">
            <v>1774.799997061491</v>
          </cell>
        </row>
        <row r="575">
          <cell r="A575">
            <v>35186</v>
          </cell>
          <cell r="B575" t="str">
            <v>英国</v>
          </cell>
          <cell r="C575" t="str">
            <v>饮料</v>
          </cell>
          <cell r="D575">
            <v>759.99999716877937</v>
          </cell>
        </row>
        <row r="576">
          <cell r="A576">
            <v>35186</v>
          </cell>
          <cell r="B576" t="str">
            <v>英国</v>
          </cell>
          <cell r="C576" t="str">
            <v>饮料</v>
          </cell>
          <cell r="D576">
            <v>239.99999910593033</v>
          </cell>
        </row>
        <row r="577">
          <cell r="A577">
            <v>35186</v>
          </cell>
          <cell r="B577" t="str">
            <v>英国</v>
          </cell>
          <cell r="C577" t="str">
            <v>饮料</v>
          </cell>
          <cell r="D577">
            <v>1295.9999951720238</v>
          </cell>
        </row>
        <row r="578">
          <cell r="A578">
            <v>35186</v>
          </cell>
          <cell r="B578" t="str">
            <v>法国</v>
          </cell>
          <cell r="C578" t="str">
            <v>乳制品</v>
          </cell>
          <cell r="D578">
            <v>69.599999999999994</v>
          </cell>
        </row>
        <row r="579">
          <cell r="A579">
            <v>35187</v>
          </cell>
          <cell r="B579" t="str">
            <v>英国</v>
          </cell>
          <cell r="C579" t="str">
            <v>面食/谷类</v>
          </cell>
          <cell r="D579">
            <v>560</v>
          </cell>
        </row>
        <row r="580">
          <cell r="A580">
            <v>35188</v>
          </cell>
          <cell r="B580" t="str">
            <v>英国</v>
          </cell>
          <cell r="C580" t="str">
            <v>海洋食品</v>
          </cell>
          <cell r="D580">
            <v>183.34999985620379</v>
          </cell>
        </row>
        <row r="581">
          <cell r="A581">
            <v>35188</v>
          </cell>
          <cell r="B581" t="str">
            <v>英国</v>
          </cell>
          <cell r="C581" t="str">
            <v>农产品</v>
          </cell>
          <cell r="D581">
            <v>755.24999940767884</v>
          </cell>
        </row>
        <row r="582">
          <cell r="A582">
            <v>35188</v>
          </cell>
          <cell r="B582" t="str">
            <v>英国</v>
          </cell>
          <cell r="C582" t="str">
            <v>香料</v>
          </cell>
          <cell r="D582">
            <v>259.34999979659915</v>
          </cell>
        </row>
        <row r="583">
          <cell r="A583">
            <v>35191</v>
          </cell>
          <cell r="B583" t="str">
            <v>法国</v>
          </cell>
          <cell r="C583" t="str">
            <v>香料</v>
          </cell>
          <cell r="D583">
            <v>412.5</v>
          </cell>
        </row>
        <row r="584">
          <cell r="A584">
            <v>35191</v>
          </cell>
          <cell r="B584" t="str">
            <v>法国</v>
          </cell>
          <cell r="C584" t="str">
            <v>饮料</v>
          </cell>
          <cell r="D584">
            <v>101.25</v>
          </cell>
        </row>
        <row r="585">
          <cell r="A585">
            <v>35191</v>
          </cell>
          <cell r="B585" t="str">
            <v>法国</v>
          </cell>
          <cell r="C585" t="str">
            <v>香料</v>
          </cell>
          <cell r="D585">
            <v>390</v>
          </cell>
        </row>
        <row r="586">
          <cell r="A586">
            <v>35191</v>
          </cell>
          <cell r="B586" t="str">
            <v>法国</v>
          </cell>
          <cell r="C586" t="str">
            <v>海洋食品</v>
          </cell>
          <cell r="D586">
            <v>336</v>
          </cell>
        </row>
        <row r="587">
          <cell r="A587">
            <v>35191</v>
          </cell>
          <cell r="B587" t="str">
            <v>法国</v>
          </cell>
          <cell r="C587" t="str">
            <v>饮料</v>
          </cell>
          <cell r="D587">
            <v>229.49999839067459</v>
          </cell>
        </row>
        <row r="588">
          <cell r="A588">
            <v>35191</v>
          </cell>
          <cell r="B588" t="str">
            <v>法国</v>
          </cell>
          <cell r="C588" t="str">
            <v>面食/谷类</v>
          </cell>
          <cell r="D588">
            <v>285.59999799728394</v>
          </cell>
        </row>
        <row r="589">
          <cell r="A589">
            <v>35191</v>
          </cell>
          <cell r="B589" t="str">
            <v>法国</v>
          </cell>
          <cell r="C589" t="str">
            <v>肉/家禽</v>
          </cell>
          <cell r="D589">
            <v>960</v>
          </cell>
        </row>
        <row r="590">
          <cell r="A590">
            <v>35191</v>
          </cell>
          <cell r="B590" t="str">
            <v>法国</v>
          </cell>
          <cell r="C590" t="str">
            <v>饮料</v>
          </cell>
          <cell r="D590">
            <v>72</v>
          </cell>
        </row>
        <row r="591">
          <cell r="A591">
            <v>35191</v>
          </cell>
          <cell r="B591" t="str">
            <v>法国</v>
          </cell>
          <cell r="C591" t="str">
            <v>海洋食品</v>
          </cell>
          <cell r="D591">
            <v>184</v>
          </cell>
        </row>
        <row r="592">
          <cell r="A592">
            <v>35191</v>
          </cell>
          <cell r="B592" t="str">
            <v>法国</v>
          </cell>
          <cell r="C592" t="str">
            <v>面食/谷类</v>
          </cell>
          <cell r="D592">
            <v>70</v>
          </cell>
        </row>
        <row r="593">
          <cell r="A593">
            <v>35192</v>
          </cell>
          <cell r="B593" t="str">
            <v>法国</v>
          </cell>
          <cell r="C593" t="str">
            <v>饮料</v>
          </cell>
          <cell r="D593">
            <v>144</v>
          </cell>
        </row>
        <row r="594">
          <cell r="A594">
            <v>35192</v>
          </cell>
          <cell r="B594" t="str">
            <v>法国</v>
          </cell>
          <cell r="C594" t="str">
            <v>肉/家禽</v>
          </cell>
          <cell r="D594">
            <v>185.685</v>
          </cell>
        </row>
        <row r="595">
          <cell r="A595">
            <v>35194</v>
          </cell>
          <cell r="B595" t="str">
            <v>英国</v>
          </cell>
          <cell r="C595" t="str">
            <v>糖果</v>
          </cell>
          <cell r="D595">
            <v>436.99999965727329</v>
          </cell>
        </row>
        <row r="596">
          <cell r="A596">
            <v>35194</v>
          </cell>
          <cell r="B596" t="str">
            <v>英国</v>
          </cell>
          <cell r="C596" t="str">
            <v>乳制品</v>
          </cell>
          <cell r="D596">
            <v>1162.7999990880489</v>
          </cell>
        </row>
        <row r="597">
          <cell r="A597">
            <v>35194</v>
          </cell>
          <cell r="B597" t="str">
            <v>英国</v>
          </cell>
          <cell r="C597" t="str">
            <v>乳制品</v>
          </cell>
          <cell r="D597">
            <v>1225.4999990388751</v>
          </cell>
        </row>
        <row r="598">
          <cell r="A598">
            <v>35198</v>
          </cell>
          <cell r="B598" t="str">
            <v>法国</v>
          </cell>
          <cell r="C598" t="str">
            <v>乳制品</v>
          </cell>
          <cell r="D598">
            <v>760</v>
          </cell>
        </row>
        <row r="599">
          <cell r="A599">
            <v>35198</v>
          </cell>
          <cell r="B599" t="str">
            <v>法国</v>
          </cell>
          <cell r="C599" t="str">
            <v>海洋食品</v>
          </cell>
          <cell r="D599">
            <v>625</v>
          </cell>
        </row>
        <row r="600">
          <cell r="A600">
            <v>35198</v>
          </cell>
          <cell r="B600" t="str">
            <v>法国</v>
          </cell>
          <cell r="C600" t="str">
            <v>面食/谷类</v>
          </cell>
          <cell r="D600">
            <v>190</v>
          </cell>
        </row>
        <row r="601">
          <cell r="A601">
            <v>35199</v>
          </cell>
          <cell r="B601" t="str">
            <v>英国</v>
          </cell>
          <cell r="C601" t="str">
            <v>海洋食品</v>
          </cell>
          <cell r="D601">
            <v>632.39999556541443</v>
          </cell>
        </row>
        <row r="602">
          <cell r="A602">
            <v>35199</v>
          </cell>
          <cell r="B602" t="str">
            <v>英国</v>
          </cell>
          <cell r="C602" t="str">
            <v>饮料</v>
          </cell>
          <cell r="D602">
            <v>156.75</v>
          </cell>
        </row>
        <row r="603">
          <cell r="A603">
            <v>35199</v>
          </cell>
          <cell r="B603" t="str">
            <v>英国</v>
          </cell>
          <cell r="C603" t="str">
            <v>糖果</v>
          </cell>
          <cell r="D603">
            <v>1215</v>
          </cell>
        </row>
        <row r="604">
          <cell r="A604">
            <v>35199</v>
          </cell>
          <cell r="B604" t="str">
            <v>英国</v>
          </cell>
          <cell r="C604" t="str">
            <v>糖果</v>
          </cell>
          <cell r="D604">
            <v>1967.49</v>
          </cell>
        </row>
        <row r="605">
          <cell r="A605">
            <v>35199</v>
          </cell>
          <cell r="B605" t="str">
            <v>英国</v>
          </cell>
          <cell r="C605" t="str">
            <v>农产品</v>
          </cell>
          <cell r="D605">
            <v>1749</v>
          </cell>
        </row>
        <row r="606">
          <cell r="A606">
            <v>35199</v>
          </cell>
          <cell r="B606" t="str">
            <v>英国</v>
          </cell>
          <cell r="C606" t="str">
            <v>乳制品</v>
          </cell>
          <cell r="D606">
            <v>1218</v>
          </cell>
        </row>
        <row r="607">
          <cell r="A607">
            <v>35201</v>
          </cell>
          <cell r="B607" t="str">
            <v>英国</v>
          </cell>
          <cell r="C607" t="str">
            <v>肉/家禽</v>
          </cell>
          <cell r="D607">
            <v>840</v>
          </cell>
        </row>
        <row r="608">
          <cell r="A608">
            <v>35201</v>
          </cell>
          <cell r="B608" t="str">
            <v>英国</v>
          </cell>
          <cell r="C608" t="str">
            <v>乳制品</v>
          </cell>
          <cell r="D608">
            <v>1320</v>
          </cell>
        </row>
        <row r="609">
          <cell r="A609">
            <v>35202</v>
          </cell>
          <cell r="B609" t="str">
            <v>法国</v>
          </cell>
          <cell r="C609" t="str">
            <v>饮料</v>
          </cell>
          <cell r="D609">
            <v>1425</v>
          </cell>
        </row>
        <row r="610">
          <cell r="A610">
            <v>35202</v>
          </cell>
          <cell r="B610" t="str">
            <v>法国</v>
          </cell>
          <cell r="C610" t="str">
            <v>香料</v>
          </cell>
          <cell r="D610">
            <v>1494.5</v>
          </cell>
        </row>
        <row r="611">
          <cell r="A611">
            <v>35202</v>
          </cell>
          <cell r="B611" t="str">
            <v>法国</v>
          </cell>
          <cell r="C611" t="str">
            <v>肉/家禽</v>
          </cell>
          <cell r="D611">
            <v>5570.55</v>
          </cell>
        </row>
        <row r="612">
          <cell r="A612">
            <v>35202</v>
          </cell>
          <cell r="B612" t="str">
            <v>法国</v>
          </cell>
          <cell r="C612" t="str">
            <v>乳制品</v>
          </cell>
          <cell r="D612">
            <v>4125</v>
          </cell>
        </row>
        <row r="613">
          <cell r="A613">
            <v>35202</v>
          </cell>
          <cell r="B613" t="str">
            <v>法国</v>
          </cell>
          <cell r="C613" t="str">
            <v>饮料</v>
          </cell>
          <cell r="D613">
            <v>810</v>
          </cell>
        </row>
        <row r="614">
          <cell r="A614">
            <v>35202</v>
          </cell>
          <cell r="B614" t="str">
            <v>法国</v>
          </cell>
          <cell r="C614" t="str">
            <v>海洋食品</v>
          </cell>
          <cell r="D614">
            <v>480</v>
          </cell>
        </row>
        <row r="615">
          <cell r="A615">
            <v>35202</v>
          </cell>
          <cell r="B615" t="str">
            <v>法国</v>
          </cell>
          <cell r="C615" t="str">
            <v>饮料</v>
          </cell>
          <cell r="D615">
            <v>94.5</v>
          </cell>
        </row>
        <row r="616">
          <cell r="A616">
            <v>35202</v>
          </cell>
          <cell r="B616" t="str">
            <v>法国</v>
          </cell>
          <cell r="C616" t="str">
            <v>面食/谷类</v>
          </cell>
          <cell r="D616">
            <v>665</v>
          </cell>
        </row>
        <row r="617">
          <cell r="A617">
            <v>35202</v>
          </cell>
          <cell r="B617" t="str">
            <v>法国</v>
          </cell>
          <cell r="C617" t="str">
            <v>乳制品</v>
          </cell>
          <cell r="D617">
            <v>344</v>
          </cell>
        </row>
        <row r="618">
          <cell r="A618">
            <v>35202</v>
          </cell>
          <cell r="B618" t="str">
            <v>法国</v>
          </cell>
          <cell r="C618" t="str">
            <v>海洋食品</v>
          </cell>
          <cell r="D618">
            <v>665</v>
          </cell>
        </row>
        <row r="619">
          <cell r="A619">
            <v>35202</v>
          </cell>
          <cell r="B619" t="str">
            <v>法国</v>
          </cell>
          <cell r="C619" t="str">
            <v>饮料</v>
          </cell>
          <cell r="D619">
            <v>6587.5</v>
          </cell>
        </row>
        <row r="620">
          <cell r="A620">
            <v>35202</v>
          </cell>
          <cell r="B620" t="str">
            <v>法国</v>
          </cell>
          <cell r="C620" t="str">
            <v>乳制品</v>
          </cell>
          <cell r="D620">
            <v>1650</v>
          </cell>
        </row>
        <row r="621">
          <cell r="A621">
            <v>35205</v>
          </cell>
          <cell r="B621" t="str">
            <v>法国</v>
          </cell>
          <cell r="C621" t="str">
            <v>糖果</v>
          </cell>
          <cell r="D621">
            <v>134.99999977648258</v>
          </cell>
        </row>
        <row r="622">
          <cell r="A622">
            <v>35205</v>
          </cell>
          <cell r="B622" t="str">
            <v>法国</v>
          </cell>
          <cell r="C622" t="str">
            <v>香料</v>
          </cell>
          <cell r="D622">
            <v>233.4</v>
          </cell>
        </row>
        <row r="623">
          <cell r="A623">
            <v>35205</v>
          </cell>
          <cell r="B623" t="str">
            <v>法国</v>
          </cell>
          <cell r="C623" t="str">
            <v>香料</v>
          </cell>
          <cell r="D623">
            <v>171</v>
          </cell>
        </row>
        <row r="624">
          <cell r="A624">
            <v>35205</v>
          </cell>
          <cell r="B624" t="str">
            <v>英国</v>
          </cell>
          <cell r="C624" t="str">
            <v>海洋食品</v>
          </cell>
          <cell r="D624">
            <v>42</v>
          </cell>
        </row>
        <row r="625">
          <cell r="A625">
            <v>35205</v>
          </cell>
          <cell r="B625" t="str">
            <v>英国</v>
          </cell>
          <cell r="C625" t="str">
            <v>乳制品</v>
          </cell>
          <cell r="D625">
            <v>1650</v>
          </cell>
        </row>
        <row r="626">
          <cell r="A626">
            <v>35207</v>
          </cell>
          <cell r="B626" t="str">
            <v>法国</v>
          </cell>
          <cell r="C626" t="str">
            <v>糖果</v>
          </cell>
          <cell r="D626">
            <v>200</v>
          </cell>
        </row>
        <row r="627">
          <cell r="A627">
            <v>35208</v>
          </cell>
          <cell r="B627" t="str">
            <v>英国</v>
          </cell>
          <cell r="C627" t="str">
            <v>乳制品</v>
          </cell>
          <cell r="D627">
            <v>721.99999943375587</v>
          </cell>
        </row>
        <row r="628">
          <cell r="A628">
            <v>35208</v>
          </cell>
          <cell r="B628" t="str">
            <v>英国</v>
          </cell>
          <cell r="C628" t="str">
            <v>乳制品</v>
          </cell>
          <cell r="D628">
            <v>455.99999964237213</v>
          </cell>
        </row>
        <row r="629">
          <cell r="A629">
            <v>35208</v>
          </cell>
          <cell r="B629" t="str">
            <v>英国</v>
          </cell>
          <cell r="C629" t="str">
            <v>饮料</v>
          </cell>
          <cell r="D629">
            <v>307.79999975860119</v>
          </cell>
        </row>
        <row r="630">
          <cell r="A630">
            <v>35214</v>
          </cell>
          <cell r="B630" t="str">
            <v>英国</v>
          </cell>
          <cell r="C630" t="str">
            <v>糖果</v>
          </cell>
          <cell r="D630">
            <v>30</v>
          </cell>
        </row>
        <row r="631">
          <cell r="A631">
            <v>35214</v>
          </cell>
          <cell r="B631" t="str">
            <v>英国</v>
          </cell>
          <cell r="C631" t="str">
            <v>乳制品</v>
          </cell>
          <cell r="D631">
            <v>714</v>
          </cell>
        </row>
        <row r="632">
          <cell r="A632">
            <v>35214</v>
          </cell>
          <cell r="B632" t="str">
            <v>英国</v>
          </cell>
          <cell r="C632" t="str">
            <v>香料</v>
          </cell>
          <cell r="D632">
            <v>114</v>
          </cell>
        </row>
        <row r="633">
          <cell r="A633">
            <v>35215</v>
          </cell>
          <cell r="B633" t="str">
            <v>法国</v>
          </cell>
          <cell r="C633" t="str">
            <v>乳制品</v>
          </cell>
          <cell r="D633">
            <v>510</v>
          </cell>
        </row>
        <row r="634">
          <cell r="A634">
            <v>35216</v>
          </cell>
          <cell r="B634" t="str">
            <v>法国</v>
          </cell>
          <cell r="C634" t="str">
            <v>肉/家禽</v>
          </cell>
          <cell r="D634">
            <v>2702.6999955251813</v>
          </cell>
        </row>
        <row r="635">
          <cell r="A635">
            <v>35216</v>
          </cell>
          <cell r="B635" t="str">
            <v>法国</v>
          </cell>
          <cell r="C635" t="str">
            <v>海洋食品</v>
          </cell>
          <cell r="D635">
            <v>115.8</v>
          </cell>
        </row>
        <row r="636">
          <cell r="A636">
            <v>35216</v>
          </cell>
          <cell r="B636" t="str">
            <v>法国</v>
          </cell>
          <cell r="C636" t="str">
            <v>肉/家禽</v>
          </cell>
          <cell r="D636">
            <v>737.99999877810478</v>
          </cell>
        </row>
        <row r="637">
          <cell r="A637">
            <v>35216</v>
          </cell>
          <cell r="B637" t="str">
            <v>法国</v>
          </cell>
          <cell r="C637" t="str">
            <v>肉/家禽</v>
          </cell>
          <cell r="D637">
            <v>86.399999856948853</v>
          </cell>
        </row>
        <row r="638">
          <cell r="A638">
            <v>35216</v>
          </cell>
          <cell r="B638" t="str">
            <v>法国</v>
          </cell>
          <cell r="C638" t="str">
            <v>糖果</v>
          </cell>
          <cell r="D638">
            <v>687.5</v>
          </cell>
        </row>
        <row r="639">
          <cell r="A639">
            <v>35216</v>
          </cell>
          <cell r="B639" t="str">
            <v>法国</v>
          </cell>
          <cell r="C639" t="str">
            <v>糖果</v>
          </cell>
          <cell r="D639">
            <v>52.35</v>
          </cell>
        </row>
        <row r="640">
          <cell r="A640">
            <v>35216</v>
          </cell>
          <cell r="B640" t="str">
            <v>法国</v>
          </cell>
          <cell r="C640" t="str">
            <v>糖果</v>
          </cell>
          <cell r="D640">
            <v>386.4</v>
          </cell>
        </row>
        <row r="641">
          <cell r="A641">
            <v>35216</v>
          </cell>
          <cell r="B641" t="str">
            <v>法国</v>
          </cell>
          <cell r="C641" t="str">
            <v>饮料</v>
          </cell>
          <cell r="D641">
            <v>490</v>
          </cell>
        </row>
        <row r="642">
          <cell r="A642">
            <v>35219</v>
          </cell>
          <cell r="B642" t="str">
            <v>英国</v>
          </cell>
          <cell r="C642" t="str">
            <v>海洋食品</v>
          </cell>
          <cell r="D642">
            <v>86.85</v>
          </cell>
        </row>
        <row r="643">
          <cell r="A643">
            <v>35220</v>
          </cell>
          <cell r="B643" t="str">
            <v>英国</v>
          </cell>
          <cell r="C643" t="str">
            <v>饮料</v>
          </cell>
          <cell r="D643">
            <v>611.99999570846558</v>
          </cell>
        </row>
        <row r="644">
          <cell r="A644">
            <v>35220</v>
          </cell>
          <cell r="B644" t="str">
            <v>英国</v>
          </cell>
          <cell r="C644" t="str">
            <v>饮料</v>
          </cell>
          <cell r="D644">
            <v>322.9999977350235</v>
          </cell>
        </row>
        <row r="645">
          <cell r="A645">
            <v>35220</v>
          </cell>
          <cell r="B645" t="str">
            <v>英国</v>
          </cell>
          <cell r="C645" t="str">
            <v>糖果</v>
          </cell>
          <cell r="D645">
            <v>444.97499687969685</v>
          </cell>
        </row>
        <row r="646">
          <cell r="A646">
            <v>35220</v>
          </cell>
          <cell r="B646" t="str">
            <v>英国</v>
          </cell>
          <cell r="C646" t="str">
            <v>乳制品</v>
          </cell>
          <cell r="D646">
            <v>250</v>
          </cell>
        </row>
        <row r="647">
          <cell r="A647">
            <v>35221</v>
          </cell>
          <cell r="B647" t="str">
            <v>法国</v>
          </cell>
          <cell r="C647" t="str">
            <v>饮料</v>
          </cell>
          <cell r="D647">
            <v>364.7999986410141</v>
          </cell>
        </row>
        <row r="648">
          <cell r="A648">
            <v>35221</v>
          </cell>
          <cell r="B648" t="str">
            <v>法国</v>
          </cell>
          <cell r="C648" t="str">
            <v>香料</v>
          </cell>
          <cell r="D648">
            <v>40</v>
          </cell>
        </row>
        <row r="649">
          <cell r="A649">
            <v>35221</v>
          </cell>
          <cell r="B649" t="str">
            <v>法国</v>
          </cell>
          <cell r="C649" t="str">
            <v>香料</v>
          </cell>
          <cell r="D649">
            <v>22</v>
          </cell>
        </row>
        <row r="650">
          <cell r="A650">
            <v>35221</v>
          </cell>
          <cell r="B650" t="str">
            <v>法国</v>
          </cell>
          <cell r="C650" t="str">
            <v>香料</v>
          </cell>
          <cell r="D650">
            <v>24.500000011175871</v>
          </cell>
        </row>
        <row r="651">
          <cell r="A651">
            <v>35221</v>
          </cell>
          <cell r="B651" t="str">
            <v>法国</v>
          </cell>
          <cell r="C651" t="str">
            <v>农产品</v>
          </cell>
          <cell r="D651">
            <v>28.499999977648258</v>
          </cell>
        </row>
        <row r="652">
          <cell r="A652">
            <v>35221</v>
          </cell>
          <cell r="B652" t="str">
            <v>法国</v>
          </cell>
          <cell r="C652" t="str">
            <v>香料</v>
          </cell>
          <cell r="D652">
            <v>71.99999988079071</v>
          </cell>
        </row>
        <row r="653">
          <cell r="A653">
            <v>35221</v>
          </cell>
          <cell r="B653" t="str">
            <v>法国</v>
          </cell>
          <cell r="C653" t="str">
            <v>海洋食品</v>
          </cell>
          <cell r="D653">
            <v>31</v>
          </cell>
        </row>
        <row r="654">
          <cell r="A654">
            <v>35221</v>
          </cell>
          <cell r="B654" t="str">
            <v>法国</v>
          </cell>
          <cell r="C654" t="str">
            <v>乳制品</v>
          </cell>
          <cell r="D654">
            <v>72.199999943375587</v>
          </cell>
        </row>
        <row r="655">
          <cell r="A655">
            <v>35221</v>
          </cell>
          <cell r="B655" t="str">
            <v>法国</v>
          </cell>
          <cell r="C655" t="str">
            <v>海洋食品</v>
          </cell>
          <cell r="D655">
            <v>24</v>
          </cell>
        </row>
        <row r="656">
          <cell r="A656">
            <v>35221</v>
          </cell>
          <cell r="B656" t="str">
            <v>法国</v>
          </cell>
          <cell r="C656" t="str">
            <v>农产品</v>
          </cell>
          <cell r="D656">
            <v>22.55250001559034</v>
          </cell>
        </row>
        <row r="657">
          <cell r="A657">
            <v>35221</v>
          </cell>
          <cell r="B657" t="str">
            <v>法国</v>
          </cell>
          <cell r="C657" t="str">
            <v>糖果</v>
          </cell>
          <cell r="D657">
            <v>33.853000023402274</v>
          </cell>
        </row>
        <row r="658">
          <cell r="A658">
            <v>35221</v>
          </cell>
          <cell r="B658" t="str">
            <v>法国</v>
          </cell>
          <cell r="C658" t="str">
            <v>糖果</v>
          </cell>
          <cell r="D658">
            <v>77.760000072419643</v>
          </cell>
        </row>
        <row r="659">
          <cell r="A659">
            <v>35221</v>
          </cell>
          <cell r="B659" t="str">
            <v>法国</v>
          </cell>
          <cell r="C659" t="str">
            <v>面食/谷类</v>
          </cell>
          <cell r="D659">
            <v>18</v>
          </cell>
        </row>
        <row r="660">
          <cell r="A660">
            <v>35221</v>
          </cell>
          <cell r="B660" t="str">
            <v>法国</v>
          </cell>
          <cell r="C660" t="str">
            <v>乳制品</v>
          </cell>
          <cell r="D660">
            <v>32</v>
          </cell>
        </row>
        <row r="661">
          <cell r="A661">
            <v>35221</v>
          </cell>
          <cell r="B661" t="str">
            <v>法国</v>
          </cell>
          <cell r="C661" t="str">
            <v>饮料</v>
          </cell>
          <cell r="D661">
            <v>34.19999997317791</v>
          </cell>
        </row>
        <row r="662">
          <cell r="A662">
            <v>35221</v>
          </cell>
          <cell r="B662" t="str">
            <v>法国</v>
          </cell>
          <cell r="C662" t="str">
            <v>海洋食品</v>
          </cell>
          <cell r="D662">
            <v>28.95</v>
          </cell>
        </row>
        <row r="663">
          <cell r="A663">
            <v>35221</v>
          </cell>
          <cell r="B663" t="str">
            <v>法国</v>
          </cell>
          <cell r="C663" t="str">
            <v>海洋食品</v>
          </cell>
          <cell r="D663">
            <v>35.280000016093254</v>
          </cell>
        </row>
        <row r="664">
          <cell r="A664">
            <v>35221</v>
          </cell>
          <cell r="B664" t="str">
            <v>法国</v>
          </cell>
          <cell r="C664" t="str">
            <v>面食/谷类</v>
          </cell>
          <cell r="D664">
            <v>14</v>
          </cell>
        </row>
        <row r="665">
          <cell r="A665">
            <v>35221</v>
          </cell>
          <cell r="B665" t="str">
            <v>法国</v>
          </cell>
          <cell r="C665" t="str">
            <v>肉/家禽</v>
          </cell>
          <cell r="D665">
            <v>48</v>
          </cell>
        </row>
        <row r="666">
          <cell r="A666">
            <v>35221</v>
          </cell>
          <cell r="B666" t="str">
            <v>法国</v>
          </cell>
          <cell r="C666" t="str">
            <v>乳制品</v>
          </cell>
          <cell r="D666">
            <v>63.920000091195107</v>
          </cell>
        </row>
        <row r="667">
          <cell r="A667">
            <v>35221</v>
          </cell>
          <cell r="B667" t="str">
            <v>法国</v>
          </cell>
          <cell r="C667" t="str">
            <v>面食/谷类</v>
          </cell>
          <cell r="D667">
            <v>64.505000044591725</v>
          </cell>
        </row>
        <row r="668">
          <cell r="A668">
            <v>35221</v>
          </cell>
          <cell r="B668" t="str">
            <v>法国</v>
          </cell>
          <cell r="C668" t="str">
            <v>香料</v>
          </cell>
          <cell r="D668">
            <v>17</v>
          </cell>
        </row>
        <row r="669">
          <cell r="A669">
            <v>35221</v>
          </cell>
          <cell r="B669" t="str">
            <v>法国</v>
          </cell>
          <cell r="C669" t="str">
            <v>海洋食品</v>
          </cell>
          <cell r="D669">
            <v>29.700000006705523</v>
          </cell>
        </row>
        <row r="670">
          <cell r="A670">
            <v>35221</v>
          </cell>
          <cell r="B670" t="str">
            <v>法国</v>
          </cell>
          <cell r="C670" t="str">
            <v>饮料</v>
          </cell>
          <cell r="D670">
            <v>31</v>
          </cell>
        </row>
        <row r="671">
          <cell r="A671">
            <v>35221</v>
          </cell>
          <cell r="B671" t="str">
            <v>法国</v>
          </cell>
          <cell r="C671" t="str">
            <v>香料</v>
          </cell>
          <cell r="D671">
            <v>26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注意事项"/>
      <sheetName val="第1题"/>
      <sheetName val="第1题图片"/>
      <sheetName val="第2题"/>
      <sheetName val="第2题图形"/>
      <sheetName val="第2题Query图片"/>
      <sheetName val="第2题透视表"/>
      <sheetName val="第3题"/>
      <sheetName val="第4题"/>
      <sheetName val="第5题"/>
      <sheetName val="第5题图形"/>
      <sheetName val="第6题"/>
      <sheetName val="第6题图形"/>
      <sheetName val="第7题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考试注意事项"/>
      <sheetName val="第1题"/>
      <sheetName val="第2题"/>
      <sheetName val="第3题"/>
      <sheetName val="第4题"/>
      <sheetName val="第5题"/>
      <sheetName val="第6题"/>
      <sheetName val="第7题"/>
      <sheetName val="数据"/>
    </sheetNames>
    <sheetDataSet>
      <sheetData sheetId="0" refreshError="1"/>
      <sheetData sheetId="1">
        <row r="3">
          <cell r="C3" t="str">
            <v>98经济法</v>
          </cell>
          <cell r="D3" t="str">
            <v>98经济法</v>
          </cell>
          <cell r="E3" t="str">
            <v>99外国语言文学类</v>
          </cell>
          <cell r="F3" t="str">
            <v>98经贸外语</v>
          </cell>
        </row>
        <row r="4">
          <cell r="C4" t="str">
            <v>98国际经济法</v>
          </cell>
          <cell r="D4" t="str">
            <v>98国际经济法</v>
          </cell>
          <cell r="E4" t="str">
            <v>99市场营销</v>
          </cell>
          <cell r="F4" t="str">
            <v>99经贸英语</v>
          </cell>
        </row>
        <row r="5">
          <cell r="C5" t="str">
            <v>98国际金融(1)</v>
          </cell>
          <cell r="D5" t="str">
            <v>98国际金融(1)</v>
          </cell>
          <cell r="E5" t="str">
            <v>99银行与国际金融2</v>
          </cell>
          <cell r="F5" t="str">
            <v>99国际经济与贸易</v>
          </cell>
        </row>
        <row r="6">
          <cell r="C6" t="str">
            <v>98国际金融(2)</v>
          </cell>
          <cell r="D6" t="str">
            <v>98国际金融(2)</v>
          </cell>
          <cell r="E6" t="str">
            <v>99保险</v>
          </cell>
          <cell r="F6" t="str">
            <v>99证券与投资</v>
          </cell>
        </row>
        <row r="7">
          <cell r="C7" t="str">
            <v>98市场营销(2)</v>
          </cell>
          <cell r="D7" t="str">
            <v>98万泰投资学院2班</v>
          </cell>
          <cell r="E7" t="str">
            <v>99工程管理</v>
          </cell>
          <cell r="F7" t="str">
            <v>99市场营销</v>
          </cell>
        </row>
        <row r="8">
          <cell r="C8" t="str">
            <v>98市场营销(1)</v>
          </cell>
          <cell r="D8" t="str">
            <v>98市场营销(1)</v>
          </cell>
          <cell r="E8" t="str">
            <v>99工商管理</v>
          </cell>
          <cell r="F8" t="str">
            <v>99银行与国际金融2</v>
          </cell>
        </row>
        <row r="9">
          <cell r="C9" t="str">
            <v>98国际企业管理</v>
          </cell>
          <cell r="D9" t="str">
            <v>98企业管理</v>
          </cell>
          <cell r="E9" t="str">
            <v>99人力资源管理</v>
          </cell>
          <cell r="F9" t="str">
            <v>99工程管理</v>
          </cell>
        </row>
        <row r="10">
          <cell r="C10" t="str">
            <v>98企业管理</v>
          </cell>
          <cell r="D10" t="str">
            <v>98国际企业管理</v>
          </cell>
          <cell r="E10" t="str">
            <v>99国际经济与贸易</v>
          </cell>
          <cell r="F10" t="str">
            <v>99工商管理</v>
          </cell>
        </row>
        <row r="11">
          <cell r="C11" t="str">
            <v>98国际贸易</v>
          </cell>
          <cell r="D11" t="str">
            <v>98市场营销(2)</v>
          </cell>
          <cell r="E11" t="str">
            <v>99银行与国际金融1</v>
          </cell>
          <cell r="F11" t="str">
            <v>99人力资源管理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例4-8"/>
      <sheetName val="纳税数据变化图"/>
      <sheetName val="季节指数计算模型"/>
      <sheetName val="消除季节影响的纳税总额变化图"/>
      <sheetName val="纳税总额观测值及其季节预测值图形"/>
    </sheetNames>
    <sheetDataSet>
      <sheetData sheetId="0" refreshError="1"/>
      <sheetData sheetId="1" refreshError="1"/>
      <sheetData sheetId="2">
        <row r="5">
          <cell r="E5">
            <v>1.0714285714285714</v>
          </cell>
        </row>
        <row r="6">
          <cell r="E6">
            <v>1.1168384879725086</v>
          </cell>
        </row>
        <row r="7">
          <cell r="E7">
            <v>0.96989966555183948</v>
          </cell>
        </row>
        <row r="8">
          <cell r="E8">
            <v>0.84690553745928343</v>
          </cell>
        </row>
        <row r="10">
          <cell r="E10">
            <v>1.0691823899371067</v>
          </cell>
        </row>
        <row r="11">
          <cell r="E11">
            <v>1.1490683229813665</v>
          </cell>
        </row>
        <row r="12">
          <cell r="E12">
            <v>0.91185410334346506</v>
          </cell>
        </row>
        <row r="13">
          <cell r="E13">
            <v>0.83333333333333315</v>
          </cell>
        </row>
        <row r="15">
          <cell r="E15">
            <v>1.0932944606413995</v>
          </cell>
        </row>
        <row r="16">
          <cell r="E16">
            <v>1.1271676300578035</v>
          </cell>
        </row>
        <row r="17">
          <cell r="E17">
            <v>0.9</v>
          </cell>
        </row>
        <row r="18">
          <cell r="E18">
            <v>0.83098591549295786</v>
          </cell>
        </row>
      </sheetData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套第2题"/>
      <sheetName val="1套第2题答案"/>
      <sheetName val="2套第2题"/>
      <sheetName val="2套第2题答案"/>
      <sheetName val="3套第2题"/>
      <sheetName val="3套第2题答案"/>
      <sheetName val="4套第2题"/>
      <sheetName val="4套第2题答案"/>
      <sheetName val="Sheet2"/>
      <sheetName val="Sheet3"/>
    </sheetNames>
    <sheetDataSet>
      <sheetData sheetId="0"/>
      <sheetData sheetId="1">
        <row r="6">
          <cell r="K6">
            <v>6500</v>
          </cell>
        </row>
        <row r="7">
          <cell r="J7" t="str">
            <v>出版娱乐</v>
          </cell>
          <cell r="K7">
            <v>6500</v>
          </cell>
          <cell r="L7">
            <v>0</v>
          </cell>
        </row>
        <row r="8">
          <cell r="J8" t="str">
            <v>工业制造</v>
          </cell>
          <cell r="K8">
            <v>7000</v>
          </cell>
          <cell r="L8">
            <v>0</v>
          </cell>
        </row>
        <row r="9">
          <cell r="J9" t="str">
            <v>计算机</v>
          </cell>
          <cell r="K9">
            <v>6815.6862745098042</v>
          </cell>
          <cell r="L9">
            <v>6815.6862745098042</v>
          </cell>
        </row>
        <row r="10">
          <cell r="J10" t="str">
            <v>教育咨询</v>
          </cell>
          <cell r="K10">
            <v>6936.95652173913</v>
          </cell>
          <cell r="L10">
            <v>0</v>
          </cell>
        </row>
        <row r="11">
          <cell r="J11" t="str">
            <v>金融</v>
          </cell>
          <cell r="K11">
            <v>7242.1875</v>
          </cell>
          <cell r="L11">
            <v>0</v>
          </cell>
        </row>
        <row r="12">
          <cell r="J12" t="str">
            <v>零售</v>
          </cell>
          <cell r="K12">
            <v>7020.588235294118</v>
          </cell>
          <cell r="L12">
            <v>0</v>
          </cell>
        </row>
        <row r="13">
          <cell r="J13" t="str">
            <v>旅游休闲</v>
          </cell>
          <cell r="K13">
            <v>7320</v>
          </cell>
          <cell r="L13">
            <v>0</v>
          </cell>
        </row>
        <row r="14">
          <cell r="J14" t="str">
            <v>农业</v>
          </cell>
          <cell r="K14">
            <v>6275</v>
          </cell>
          <cell r="L14">
            <v>0</v>
          </cell>
        </row>
        <row r="15">
          <cell r="J15" t="str">
            <v>医疗卫生</v>
          </cell>
          <cell r="K15">
            <v>6780</v>
          </cell>
          <cell r="L15">
            <v>0</v>
          </cell>
        </row>
        <row r="16">
          <cell r="J16" t="str">
            <v>政府机构</v>
          </cell>
          <cell r="K16">
            <v>6554.347826086957</v>
          </cell>
          <cell r="L16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-1"/>
      <sheetName val="7-1答案"/>
      <sheetName val="7-2"/>
      <sheetName val="7-2答案"/>
      <sheetName val="7-3"/>
      <sheetName val="7-3答案"/>
      <sheetName val="7-补考"/>
      <sheetName val="7-补考答案"/>
    </sheetNames>
    <sheetDataSet>
      <sheetData sheetId="0"/>
      <sheetData sheetId="1">
        <row r="5">
          <cell r="F5">
            <v>600</v>
          </cell>
          <cell r="I5" t="str">
            <v>利润</v>
          </cell>
        </row>
        <row r="7">
          <cell r="H7">
            <v>100</v>
          </cell>
          <cell r="I7">
            <v>269070.76057536207</v>
          </cell>
        </row>
        <row r="8">
          <cell r="H8">
            <v>200</v>
          </cell>
          <cell r="I8">
            <v>533263.14774424664</v>
          </cell>
        </row>
        <row r="9">
          <cell r="H9">
            <v>300</v>
          </cell>
          <cell r="I9">
            <v>752577.16150665376</v>
          </cell>
        </row>
        <row r="10">
          <cell r="H10">
            <v>400</v>
          </cell>
          <cell r="I10">
            <v>927012.80186258338</v>
          </cell>
        </row>
        <row r="11">
          <cell r="F11">
            <v>1141248.9623550102</v>
          </cell>
          <cell r="H11">
            <v>500</v>
          </cell>
          <cell r="I11">
            <v>1056570.0688120355</v>
          </cell>
        </row>
        <row r="12">
          <cell r="H12">
            <v>600</v>
          </cell>
          <cell r="I12">
            <v>1141248.9623550102</v>
          </cell>
        </row>
        <row r="13">
          <cell r="F13">
            <v>738.68530010214818</v>
          </cell>
          <cell r="H13">
            <v>700</v>
          </cell>
          <cell r="I13">
            <v>1181049.4824915077</v>
          </cell>
        </row>
        <row r="14">
          <cell r="H14">
            <v>800</v>
          </cell>
          <cell r="I14">
            <v>1175971.6292215274</v>
          </cell>
        </row>
        <row r="15">
          <cell r="H15">
            <v>900</v>
          </cell>
          <cell r="I15">
            <v>1126015.4025450696</v>
          </cell>
        </row>
        <row r="16">
          <cell r="H16">
            <v>1000</v>
          </cell>
          <cell r="I16">
            <v>1031180.802462134</v>
          </cell>
        </row>
        <row r="17">
          <cell r="H17">
            <v>1100</v>
          </cell>
          <cell r="I17">
            <v>891467.82897272194</v>
          </cell>
        </row>
        <row r="18">
          <cell r="H18">
            <v>1200</v>
          </cell>
          <cell r="I18">
            <v>706876.48207683174</v>
          </cell>
        </row>
        <row r="19">
          <cell r="H19">
            <v>1300</v>
          </cell>
          <cell r="I19">
            <v>477406.76177446416</v>
          </cell>
        </row>
        <row r="20">
          <cell r="H20">
            <v>1400</v>
          </cell>
          <cell r="I20">
            <v>203058.66806561907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第8题答案"/>
    </sheetNames>
    <sheetDataSet>
      <sheetData sheetId="0">
        <row r="2">
          <cell r="T2">
            <v>380</v>
          </cell>
          <cell r="U2">
            <v>390</v>
          </cell>
          <cell r="V2">
            <v>400</v>
          </cell>
          <cell r="W2">
            <v>410</v>
          </cell>
          <cell r="X2">
            <v>420</v>
          </cell>
          <cell r="Y2">
            <v>430</v>
          </cell>
          <cell r="Z2">
            <v>440</v>
          </cell>
        </row>
        <row r="3">
          <cell r="T3">
            <v>40043.445799999994</v>
          </cell>
          <cell r="U3">
            <v>41618.528400000003</v>
          </cell>
          <cell r="V3">
            <v>42524.313199999997</v>
          </cell>
          <cell r="W3">
            <v>42998.074200000003</v>
          </cell>
          <cell r="X3">
            <v>44088.046000000017</v>
          </cell>
          <cell r="Y3">
            <v>44848.837199999994</v>
          </cell>
          <cell r="Z3">
            <v>45659.710599999999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2018-2019-2\&#31532;1&#39064;&#20986;&#39064;\&#31532;1&#39064;-&#31532;1&#22871;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凤宝宝" refreshedDate="43622.466609027775" createdVersion="6" refreshedVersion="6" minRefreshableVersion="3" recordCount="405">
  <cacheSource type="worksheet">
    <worksheetSource name="表_查询来自_nw" r:id="rId2"/>
  </cacheSource>
  <cacheFields count="6">
    <cacheField name="订购日期" numFmtId="22">
      <sharedItems containsSemiMixedTypes="0" containsNonDate="0" containsDate="1" containsString="0" minDate="1996-07-04T00:00:00" maxDate="1997-01-01T00:00:00"/>
    </cacheField>
    <cacheField name="订单ID" numFmtId="0">
      <sharedItems containsSemiMixedTypes="0" containsString="0" containsNumber="1" containsInteger="1" minValue="10248" maxValue="10399"/>
    </cacheField>
    <cacheField name="类别名称" numFmtId="0">
      <sharedItems count="8">
        <s v="谷类/麦片"/>
        <s v="日用品"/>
        <s v="肉/家禽"/>
        <s v="特制品"/>
        <s v="海鲜"/>
        <s v="调味品"/>
        <s v="点心"/>
        <s v="饮料"/>
      </sharedItems>
      <fieldGroup par="5"/>
    </cacheField>
    <cacheField name="销售额" numFmtId="0">
      <sharedItems containsSemiMixedTypes="0" containsString="0" containsNumber="1" minValue="7.3" maxValue="8431.9999685883522"/>
    </cacheField>
    <cacheField name="数量" numFmtId="0">
      <sharedItems containsSemiMixedTypes="0" containsString="0" containsNumber="1" containsInteger="1" minValue="1" maxValue="120"/>
    </cacheField>
    <cacheField name="类别名称2" numFmtId="0" databaseField="0">
      <fieldGroup base="2">
        <discretePr count="8">
          <x v="0"/>
          <x v="1"/>
          <x v="0"/>
          <x v="0"/>
          <x v="1"/>
          <x v="0"/>
          <x v="1"/>
          <x v="1"/>
        </discretePr>
        <groupItems count="2">
          <s v="数据组2"/>
          <s v="数据组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05">
  <r>
    <d v="1996-07-04T00:00:00"/>
    <n v="10248"/>
    <x v="0"/>
    <n v="98"/>
    <n v="10"/>
  </r>
  <r>
    <d v="1996-07-04T00:00:00"/>
    <n v="10248"/>
    <x v="1"/>
    <n v="174"/>
    <n v="5"/>
  </r>
  <r>
    <d v="1996-07-04T00:00:00"/>
    <n v="10248"/>
    <x v="2"/>
    <n v="168"/>
    <n v="12"/>
  </r>
  <r>
    <d v="1996-07-05T00:00:00"/>
    <n v="10249"/>
    <x v="3"/>
    <n v="167.4"/>
    <n v="9"/>
  </r>
  <r>
    <d v="1996-07-05T00:00:00"/>
    <n v="10249"/>
    <x v="3"/>
    <n v="1696"/>
    <n v="40"/>
  </r>
  <r>
    <d v="1996-07-08T00:00:00"/>
    <n v="10250"/>
    <x v="4"/>
    <n v="77"/>
    <n v="10"/>
  </r>
  <r>
    <d v="1996-07-08T00:00:00"/>
    <n v="10250"/>
    <x v="3"/>
    <n v="1261.3999911546707"/>
    <n v="35"/>
  </r>
  <r>
    <d v="1996-07-08T00:00:00"/>
    <n v="10250"/>
    <x v="5"/>
    <n v="214.19999849796295"/>
    <n v="15"/>
  </r>
  <r>
    <d v="1996-07-08T00:00:00"/>
    <n v="10251"/>
    <x v="0"/>
    <n v="95.759999924898139"/>
    <n v="6"/>
  </r>
  <r>
    <d v="1996-07-08T00:00:00"/>
    <n v="10251"/>
    <x v="0"/>
    <n v="222.29999982565641"/>
    <n v="15"/>
  </r>
  <r>
    <d v="1996-07-08T00:00:00"/>
    <n v="10251"/>
    <x v="5"/>
    <n v="336"/>
    <n v="20"/>
  </r>
  <r>
    <d v="1996-07-09T00:00:00"/>
    <n v="10252"/>
    <x v="6"/>
    <n v="2462.3999980688095"/>
    <n v="40"/>
  </r>
  <r>
    <d v="1996-07-09T00:00:00"/>
    <n v="10252"/>
    <x v="1"/>
    <n v="47.499999962747097"/>
    <n v="25"/>
  </r>
  <r>
    <d v="1996-07-09T00:00:00"/>
    <n v="10252"/>
    <x v="1"/>
    <n v="1088"/>
    <n v="40"/>
  </r>
  <r>
    <d v="1996-07-10T00:00:00"/>
    <n v="10253"/>
    <x v="1"/>
    <n v="200"/>
    <n v="20"/>
  </r>
  <r>
    <d v="1996-07-10T00:00:00"/>
    <n v="10253"/>
    <x v="7"/>
    <n v="604.79999999999995"/>
    <n v="42"/>
  </r>
  <r>
    <d v="1996-07-10T00:00:00"/>
    <n v="10253"/>
    <x v="6"/>
    <n v="640"/>
    <n v="40"/>
  </r>
  <r>
    <d v="1996-07-11T00:00:00"/>
    <n v="10254"/>
    <x v="7"/>
    <n v="45.899999678134918"/>
    <n v="15"/>
  </r>
  <r>
    <d v="1996-07-11T00:00:00"/>
    <n v="10254"/>
    <x v="2"/>
    <n v="342.71999759674071"/>
    <n v="21"/>
  </r>
  <r>
    <d v="1996-07-11T00:00:00"/>
    <n v="10254"/>
    <x v="3"/>
    <n v="168"/>
    <n v="21"/>
  </r>
  <r>
    <d v="1996-07-12T00:00:00"/>
    <n v="10255"/>
    <x v="7"/>
    <n v="304"/>
    <n v="20"/>
  </r>
  <r>
    <d v="1996-07-12T00:00:00"/>
    <n v="10255"/>
    <x v="6"/>
    <n v="486.5"/>
    <n v="35"/>
  </r>
  <r>
    <d v="1996-07-12T00:00:00"/>
    <n v="10255"/>
    <x v="4"/>
    <n v="380"/>
    <n v="25"/>
  </r>
  <r>
    <d v="1996-07-12T00:00:00"/>
    <n v="10255"/>
    <x v="1"/>
    <n v="1320"/>
    <n v="30"/>
  </r>
  <r>
    <d v="1996-07-15T00:00:00"/>
    <n v="10256"/>
    <x v="2"/>
    <n v="393"/>
    <n v="15"/>
  </r>
  <r>
    <d v="1996-07-15T00:00:00"/>
    <n v="10256"/>
    <x v="5"/>
    <n v="124.8"/>
    <n v="12"/>
  </r>
  <r>
    <d v="1996-07-16T00:00:00"/>
    <n v="10257"/>
    <x v="6"/>
    <n v="877.5"/>
    <n v="25"/>
  </r>
  <r>
    <d v="1996-07-16T00:00:00"/>
    <n v="10257"/>
    <x v="7"/>
    <n v="86.4"/>
    <n v="6"/>
  </r>
  <r>
    <d v="1996-07-16T00:00:00"/>
    <n v="10257"/>
    <x v="5"/>
    <n v="156"/>
    <n v="15"/>
  </r>
  <r>
    <d v="1996-07-17T00:00:00"/>
    <n v="10258"/>
    <x v="7"/>
    <n v="607.9999977350235"/>
    <n v="50"/>
  </r>
  <r>
    <d v="1996-07-17T00:00:00"/>
    <n v="10258"/>
    <x v="5"/>
    <n v="883.99999670684338"/>
    <n v="65"/>
  </r>
  <r>
    <d v="1996-07-17T00:00:00"/>
    <n v="10258"/>
    <x v="1"/>
    <n v="122.87999954223632"/>
    <n v="6"/>
  </r>
  <r>
    <d v="1996-07-18T00:00:00"/>
    <n v="10259"/>
    <x v="6"/>
    <n v="80"/>
    <n v="10"/>
  </r>
  <r>
    <d v="1996-07-18T00:00:00"/>
    <n v="10259"/>
    <x v="4"/>
    <n v="20.8"/>
    <n v="1"/>
  </r>
  <r>
    <d v="1996-07-19T00:00:00"/>
    <n v="10260"/>
    <x v="6"/>
    <n v="443.25"/>
    <n v="15"/>
  </r>
  <r>
    <d v="1996-07-19T00:00:00"/>
    <n v="10260"/>
    <x v="7"/>
    <n v="189"/>
    <n v="21"/>
  </r>
  <r>
    <d v="1996-07-19T00:00:00"/>
    <n v="10260"/>
    <x v="0"/>
    <n v="780"/>
    <n v="50"/>
  </r>
  <r>
    <d v="1996-07-19T00:00:00"/>
    <n v="10260"/>
    <x v="4"/>
    <n v="92.4"/>
    <n v="16"/>
  </r>
  <r>
    <d v="1996-07-19T00:00:00"/>
    <n v="10261"/>
    <x v="7"/>
    <n v="288"/>
    <n v="20"/>
  </r>
  <r>
    <d v="1996-07-19T00:00:00"/>
    <n v="10261"/>
    <x v="6"/>
    <n v="160"/>
    <n v="20"/>
  </r>
  <r>
    <d v="1996-07-22T00:00:00"/>
    <n v="10262"/>
    <x v="5"/>
    <n v="163.19999939203262"/>
    <n v="12"/>
  </r>
  <r>
    <d v="1996-07-22T00:00:00"/>
    <n v="10262"/>
    <x v="3"/>
    <n v="360"/>
    <n v="15"/>
  </r>
  <r>
    <d v="1996-07-22T00:00:00"/>
    <n v="10262"/>
    <x v="0"/>
    <n v="60.8"/>
    <n v="2"/>
  </r>
  <r>
    <d v="1996-07-23T00:00:00"/>
    <n v="10263"/>
    <x v="6"/>
    <n v="625.5"/>
    <n v="60"/>
  </r>
  <r>
    <d v="1996-07-23T00:00:00"/>
    <n v="10263"/>
    <x v="7"/>
    <n v="100.8"/>
    <n v="28"/>
  </r>
  <r>
    <d v="1996-07-23T00:00:00"/>
    <n v="10263"/>
    <x v="4"/>
    <n v="931.5"/>
    <n v="60"/>
  </r>
  <r>
    <d v="1996-07-23T00:00:00"/>
    <n v="10263"/>
    <x v="3"/>
    <n v="216"/>
    <n v="36"/>
  </r>
  <r>
    <d v="1996-07-24T00:00:00"/>
    <n v="10264"/>
    <x v="7"/>
    <n v="532"/>
    <n v="35"/>
  </r>
  <r>
    <d v="1996-07-24T00:00:00"/>
    <n v="10264"/>
    <x v="4"/>
    <n v="163.62499885261059"/>
    <n v="25"/>
  </r>
  <r>
    <d v="1996-07-25T00:00:00"/>
    <n v="10265"/>
    <x v="2"/>
    <n v="936"/>
    <n v="30"/>
  </r>
  <r>
    <d v="1996-07-25T00:00:00"/>
    <n v="10265"/>
    <x v="7"/>
    <n v="240"/>
    <n v="20"/>
  </r>
  <r>
    <d v="1996-07-26T00:00:00"/>
    <n v="10266"/>
    <x v="1"/>
    <n v="346.55999972820285"/>
    <n v="12"/>
  </r>
  <r>
    <d v="1996-07-29T00:00:00"/>
    <n v="10267"/>
    <x v="4"/>
    <n v="735"/>
    <n v="50"/>
  </r>
  <r>
    <d v="1996-07-29T00:00:00"/>
    <n v="10267"/>
    <x v="1"/>
    <n v="2617.9999816417694"/>
    <n v="70"/>
  </r>
  <r>
    <d v="1996-07-29T00:00:00"/>
    <n v="10267"/>
    <x v="7"/>
    <n v="183.59999871253967"/>
    <n v="15"/>
  </r>
  <r>
    <d v="1996-07-30T00:00:00"/>
    <n v="10268"/>
    <x v="2"/>
    <n v="990"/>
    <n v="10"/>
  </r>
  <r>
    <d v="1996-07-30T00:00:00"/>
    <n v="10268"/>
    <x v="1"/>
    <n v="111.2"/>
    <n v="4"/>
  </r>
  <r>
    <d v="1996-07-31T00:00:00"/>
    <n v="10269"/>
    <x v="1"/>
    <n v="113.99999991059303"/>
    <n v="60"/>
  </r>
  <r>
    <d v="1996-07-31T00:00:00"/>
    <n v="10269"/>
    <x v="1"/>
    <n v="528.19999958574772"/>
    <n v="20"/>
  </r>
  <r>
    <d v="1996-08-01T00:00:00"/>
    <n v="10270"/>
    <x v="4"/>
    <n v="456"/>
    <n v="30"/>
  </r>
  <r>
    <d v="1996-08-01T00:00:00"/>
    <n v="10270"/>
    <x v="7"/>
    <n v="920"/>
    <n v="25"/>
  </r>
  <r>
    <d v="1996-08-01T00:00:00"/>
    <n v="10271"/>
    <x v="1"/>
    <n v="48"/>
    <n v="24"/>
  </r>
  <r>
    <d v="1996-08-02T00:00:00"/>
    <n v="10272"/>
    <x v="1"/>
    <n v="667.2"/>
    <n v="24"/>
  </r>
  <r>
    <d v="1996-08-02T00:00:00"/>
    <n v="10272"/>
    <x v="6"/>
    <n v="388.8"/>
    <n v="6"/>
  </r>
  <r>
    <d v="1996-08-02T00:00:00"/>
    <n v="10272"/>
    <x v="1"/>
    <n v="400"/>
    <n v="40"/>
  </r>
  <r>
    <d v="1996-08-05T00:00:00"/>
    <n v="10273"/>
    <x v="4"/>
    <n v="565.43999955654147"/>
    <n v="24"/>
  </r>
  <r>
    <d v="1996-08-05T00:00:00"/>
    <n v="10273"/>
    <x v="1"/>
    <n v="142.49999988824129"/>
    <n v="15"/>
  </r>
  <r>
    <d v="1996-08-05T00:00:00"/>
    <n v="10273"/>
    <x v="1"/>
    <n v="40"/>
    <n v="20"/>
  </r>
  <r>
    <d v="1996-08-05T00:00:00"/>
    <n v="10273"/>
    <x v="4"/>
    <n v="837.89999934285879"/>
    <n v="60"/>
  </r>
  <r>
    <d v="1996-08-05T00:00:00"/>
    <n v="10273"/>
    <x v="7"/>
    <n v="451.43999964594838"/>
    <n v="33"/>
  </r>
  <r>
    <d v="1996-08-06T00:00:00"/>
    <n v="10274"/>
    <x v="1"/>
    <n v="344"/>
    <n v="20"/>
  </r>
  <r>
    <d v="1996-08-06T00:00:00"/>
    <n v="10274"/>
    <x v="1"/>
    <n v="194.6"/>
    <n v="7"/>
  </r>
  <r>
    <d v="1996-08-07T00:00:00"/>
    <n v="10275"/>
    <x v="7"/>
    <n v="41.039999967813493"/>
    <n v="12"/>
  </r>
  <r>
    <d v="1996-08-07T00:00:00"/>
    <n v="10275"/>
    <x v="1"/>
    <n v="250.79999980330467"/>
    <n v="6"/>
  </r>
  <r>
    <d v="1996-08-08T00:00:00"/>
    <n v="10276"/>
    <x v="4"/>
    <n v="372"/>
    <n v="15"/>
  </r>
  <r>
    <d v="1996-08-08T00:00:00"/>
    <n v="10276"/>
    <x v="4"/>
    <n v="48"/>
    <n v="10"/>
  </r>
  <r>
    <d v="1996-08-09T00:00:00"/>
    <n v="10277"/>
    <x v="3"/>
    <n v="728"/>
    <n v="20"/>
  </r>
  <r>
    <d v="1996-08-09T00:00:00"/>
    <n v="10277"/>
    <x v="6"/>
    <n v="472.8"/>
    <n v="12"/>
  </r>
  <r>
    <d v="1996-08-12T00:00:00"/>
    <n v="10278"/>
    <x v="5"/>
    <n v="248"/>
    <n v="16"/>
  </r>
  <r>
    <d v="1996-08-12T00:00:00"/>
    <n v="10278"/>
    <x v="1"/>
    <n v="660"/>
    <n v="15"/>
  </r>
  <r>
    <d v="1996-08-12T00:00:00"/>
    <n v="10278"/>
    <x v="5"/>
    <n v="280.8"/>
    <n v="8"/>
  </r>
  <r>
    <d v="1996-08-12T00:00:00"/>
    <n v="10278"/>
    <x v="4"/>
    <n v="300"/>
    <n v="25"/>
  </r>
  <r>
    <d v="1996-08-13T00:00:00"/>
    <n v="10279"/>
    <x v="2"/>
    <n v="351"/>
    <n v="15"/>
  </r>
  <r>
    <d v="1996-08-14T00:00:00"/>
    <n v="10280"/>
    <x v="7"/>
    <n v="43.2"/>
    <n v="12"/>
  </r>
  <r>
    <d v="1996-08-14T00:00:00"/>
    <n v="10280"/>
    <x v="2"/>
    <n v="384"/>
    <n v="20"/>
  </r>
  <r>
    <d v="1996-08-14T00:00:00"/>
    <n v="10280"/>
    <x v="7"/>
    <n v="186"/>
    <n v="30"/>
  </r>
  <r>
    <d v="1996-08-14T00:00:00"/>
    <n v="10281"/>
    <x v="7"/>
    <n v="21.6"/>
    <n v="6"/>
  </r>
  <r>
    <d v="1996-08-14T00:00:00"/>
    <n v="10281"/>
    <x v="7"/>
    <n v="57.6"/>
    <n v="4"/>
  </r>
  <r>
    <d v="1996-08-14T00:00:00"/>
    <n v="10281"/>
    <x v="6"/>
    <n v="7.3"/>
    <n v="1"/>
  </r>
  <r>
    <d v="1996-08-15T00:00:00"/>
    <n v="10282"/>
    <x v="0"/>
    <n v="31.2"/>
    <n v="2"/>
  </r>
  <r>
    <d v="1996-08-15T00:00:00"/>
    <n v="10282"/>
    <x v="4"/>
    <n v="124.2"/>
    <n v="6"/>
  </r>
  <r>
    <d v="1996-08-16T00:00:00"/>
    <n v="10283"/>
    <x v="5"/>
    <n v="248"/>
    <n v="20"/>
  </r>
  <r>
    <d v="1996-08-16T00:00:00"/>
    <n v="10283"/>
    <x v="6"/>
    <n v="131.4"/>
    <n v="18"/>
  </r>
  <r>
    <d v="1996-08-16T00:00:00"/>
    <n v="10283"/>
    <x v="1"/>
    <n v="952"/>
    <n v="35"/>
  </r>
  <r>
    <d v="1996-08-16T00:00:00"/>
    <n v="10283"/>
    <x v="1"/>
    <n v="83.4"/>
    <n v="3"/>
  </r>
  <r>
    <d v="1996-08-19T00:00:00"/>
    <n v="10284"/>
    <x v="6"/>
    <n v="394.875"/>
    <n v="15"/>
  </r>
  <r>
    <d v="1996-08-19T00:00:00"/>
    <n v="10284"/>
    <x v="5"/>
    <n v="325.5"/>
    <n v="21"/>
  </r>
  <r>
    <d v="1996-08-19T00:00:00"/>
    <n v="10284"/>
    <x v="1"/>
    <n v="408"/>
    <n v="20"/>
  </r>
  <r>
    <d v="1996-08-19T00:00:00"/>
    <n v="10284"/>
    <x v="7"/>
    <n v="42"/>
    <n v="5"/>
  </r>
  <r>
    <d v="1996-08-20T00:00:00"/>
    <n v="10285"/>
    <x v="2"/>
    <n v="754.55999718904502"/>
    <n v="36"/>
  </r>
  <r>
    <d v="1996-08-20T00:00:00"/>
    <n v="10285"/>
    <x v="4"/>
    <n v="470.39999824762344"/>
    <n v="40"/>
  </r>
  <r>
    <d v="1996-08-20T00:00:00"/>
    <n v="10285"/>
    <x v="7"/>
    <n v="518.39999806880951"/>
    <n v="45"/>
  </r>
  <r>
    <d v="1996-08-21T00:00:00"/>
    <n v="10286"/>
    <x v="6"/>
    <n v="1576"/>
    <n v="40"/>
  </r>
  <r>
    <d v="1996-08-21T00:00:00"/>
    <n v="10286"/>
    <x v="7"/>
    <n v="1440"/>
    <n v="100"/>
  </r>
  <r>
    <d v="1996-08-22T00:00:00"/>
    <n v="10287"/>
    <x v="6"/>
    <n v="472.59999668598175"/>
    <n v="40"/>
  </r>
  <r>
    <d v="1996-08-22T00:00:00"/>
    <n v="10287"/>
    <x v="7"/>
    <n v="224"/>
    <n v="20"/>
  </r>
  <r>
    <d v="1996-08-22T00:00:00"/>
    <n v="10287"/>
    <x v="4"/>
    <n v="122.39999914169312"/>
    <n v="15"/>
  </r>
  <r>
    <d v="1996-08-23T00:00:00"/>
    <n v="10288"/>
    <x v="2"/>
    <n v="53.099999912083149"/>
    <n v="10"/>
  </r>
  <r>
    <d v="1996-08-23T00:00:00"/>
    <n v="10288"/>
    <x v="6"/>
    <n v="26.999999955296516"/>
    <n v="3"/>
  </r>
  <r>
    <d v="1996-08-26T00:00:00"/>
    <n v="10289"/>
    <x v="5"/>
    <n v="240"/>
    <n v="30"/>
  </r>
  <r>
    <d v="1996-08-26T00:00:00"/>
    <n v="10289"/>
    <x v="0"/>
    <n v="239.4"/>
    <n v="9"/>
  </r>
  <r>
    <d v="1996-08-27T00:00:00"/>
    <n v="10290"/>
    <x v="2"/>
    <n v="1485"/>
    <n v="15"/>
  </r>
  <r>
    <d v="1996-08-27T00:00:00"/>
    <n v="10290"/>
    <x v="6"/>
    <n v="240"/>
    <n v="15"/>
  </r>
  <r>
    <d v="1996-08-27T00:00:00"/>
    <n v="10290"/>
    <x v="5"/>
    <n v="340"/>
    <n v="20"/>
  </r>
  <r>
    <d v="1996-08-27T00:00:00"/>
    <n v="10290"/>
    <x v="5"/>
    <n v="104"/>
    <n v="10"/>
  </r>
  <r>
    <d v="1996-08-27T00:00:00"/>
    <n v="10291"/>
    <x v="4"/>
    <n v="86.399999856948853"/>
    <n v="20"/>
  </r>
  <r>
    <d v="1996-08-27T00:00:00"/>
    <n v="10291"/>
    <x v="5"/>
    <n v="334.7999994456768"/>
    <n v="24"/>
  </r>
  <r>
    <d v="1996-08-27T00:00:00"/>
    <n v="10291"/>
    <x v="3"/>
    <n v="76.319999873638153"/>
    <n v="2"/>
  </r>
  <r>
    <d v="1996-08-28T00:00:00"/>
    <n v="10292"/>
    <x v="6"/>
    <n v="1296"/>
    <n v="20"/>
  </r>
  <r>
    <d v="1996-08-29T00:00:00"/>
    <n v="10293"/>
    <x v="4"/>
    <n v="600"/>
    <n v="12"/>
  </r>
  <r>
    <d v="1996-08-29T00:00:00"/>
    <n v="10293"/>
    <x v="7"/>
    <n v="36"/>
    <n v="10"/>
  </r>
  <r>
    <d v="1996-08-29T00:00:00"/>
    <n v="10293"/>
    <x v="5"/>
    <n v="175.5"/>
    <n v="5"/>
  </r>
  <r>
    <d v="1996-08-29T00:00:00"/>
    <n v="10293"/>
    <x v="7"/>
    <n v="37.200000000000003"/>
    <n v="6"/>
  </r>
  <r>
    <d v="1996-08-30T00:00:00"/>
    <n v="10294"/>
    <x v="7"/>
    <n v="552"/>
    <n v="15"/>
  </r>
  <r>
    <d v="1996-08-30T00:00:00"/>
    <n v="10294"/>
    <x v="1"/>
    <n v="571.20000000000005"/>
    <n v="21"/>
  </r>
  <r>
    <d v="1996-08-30T00:00:00"/>
    <n v="10294"/>
    <x v="2"/>
    <n v="468"/>
    <n v="15"/>
  </r>
  <r>
    <d v="1996-08-30T00:00:00"/>
    <n v="10294"/>
    <x v="7"/>
    <n v="259.2"/>
    <n v="18"/>
  </r>
  <r>
    <d v="1996-08-30T00:00:00"/>
    <n v="10294"/>
    <x v="7"/>
    <n v="37.200000000000003"/>
    <n v="6"/>
  </r>
  <r>
    <d v="1996-09-02T00:00:00"/>
    <n v="10295"/>
    <x v="0"/>
    <n v="121.6"/>
    <n v="4"/>
  </r>
  <r>
    <d v="1996-09-03T00:00:00"/>
    <n v="10296"/>
    <x v="1"/>
    <n v="201.6"/>
    <n v="12"/>
  </r>
  <r>
    <d v="1996-09-03T00:00:00"/>
    <n v="10296"/>
    <x v="6"/>
    <n v="417"/>
    <n v="30"/>
  </r>
  <r>
    <d v="1996-09-03T00:00:00"/>
    <n v="10296"/>
    <x v="1"/>
    <n v="432"/>
    <n v="15"/>
  </r>
  <r>
    <d v="1996-09-04T00:00:00"/>
    <n v="10297"/>
    <x v="7"/>
    <n v="864"/>
    <n v="60"/>
  </r>
  <r>
    <d v="1996-09-04T00:00:00"/>
    <n v="10297"/>
    <x v="1"/>
    <n v="556"/>
    <n v="20"/>
  </r>
  <r>
    <d v="1996-09-05T00:00:00"/>
    <n v="10298"/>
    <x v="6"/>
    <n v="591"/>
    <n v="15"/>
  </r>
  <r>
    <d v="1996-09-05T00:00:00"/>
    <n v="10298"/>
    <x v="7"/>
    <n v="608"/>
    <n v="40"/>
  </r>
  <r>
    <d v="1996-09-05T00:00:00"/>
    <n v="10298"/>
    <x v="4"/>
    <n v="456"/>
    <n v="40"/>
  </r>
  <r>
    <d v="1996-09-05T00:00:00"/>
    <n v="10298"/>
    <x v="1"/>
    <n v="990"/>
    <n v="30"/>
  </r>
  <r>
    <d v="1996-09-06T00:00:00"/>
    <n v="10299"/>
    <x v="6"/>
    <n v="109.5"/>
    <n v="15"/>
  </r>
  <r>
    <d v="1996-09-06T00:00:00"/>
    <n v="10299"/>
    <x v="7"/>
    <n v="240"/>
    <n v="20"/>
  </r>
  <r>
    <d v="1996-09-09T00:00:00"/>
    <n v="10300"/>
    <x v="5"/>
    <n v="408"/>
    <n v="30"/>
  </r>
  <r>
    <d v="1996-09-09T00:00:00"/>
    <n v="10300"/>
    <x v="6"/>
    <n v="200"/>
    <n v="20"/>
  </r>
  <r>
    <d v="1996-09-09T00:00:00"/>
    <n v="10301"/>
    <x v="4"/>
    <n v="147"/>
    <n v="10"/>
  </r>
  <r>
    <d v="1996-09-09T00:00:00"/>
    <n v="10301"/>
    <x v="0"/>
    <n v="608"/>
    <n v="20"/>
  </r>
  <r>
    <d v="1996-09-10T00:00:00"/>
    <n v="10302"/>
    <x v="2"/>
    <n v="1248"/>
    <n v="40"/>
  </r>
  <r>
    <d v="1996-09-10T00:00:00"/>
    <n v="10302"/>
    <x v="3"/>
    <n v="1019.2"/>
    <n v="28"/>
  </r>
  <r>
    <d v="1996-09-10T00:00:00"/>
    <n v="10302"/>
    <x v="7"/>
    <n v="441.6"/>
    <n v="12"/>
  </r>
  <r>
    <d v="1996-09-11T00:00:00"/>
    <n v="10303"/>
    <x v="4"/>
    <n v="529.19999912381172"/>
    <n v="40"/>
  </r>
  <r>
    <d v="1996-09-11T00:00:00"/>
    <n v="10303"/>
    <x v="5"/>
    <n v="453.59999924898148"/>
    <n v="30"/>
  </r>
  <r>
    <d v="1996-09-11T00:00:00"/>
    <n v="10303"/>
    <x v="6"/>
    <n v="134.99999977648258"/>
    <n v="15"/>
  </r>
  <r>
    <d v="1996-09-12T00:00:00"/>
    <n v="10304"/>
    <x v="6"/>
    <n v="480"/>
    <n v="30"/>
  </r>
  <r>
    <d v="1996-09-12T00:00:00"/>
    <n v="10304"/>
    <x v="1"/>
    <n v="34.4"/>
    <n v="2"/>
  </r>
  <r>
    <d v="1996-09-12T00:00:00"/>
    <n v="10304"/>
    <x v="1"/>
    <n v="440"/>
    <n v="10"/>
  </r>
  <r>
    <d v="1996-09-13T00:00:00"/>
    <n v="10305"/>
    <x v="4"/>
    <n v="1124.9999981373549"/>
    <n v="25"/>
  </r>
  <r>
    <d v="1996-09-13T00:00:00"/>
    <n v="10305"/>
    <x v="2"/>
    <n v="2227.4999963119626"/>
    <n v="25"/>
  </r>
  <r>
    <d v="1996-09-13T00:00:00"/>
    <n v="10305"/>
    <x v="7"/>
    <n v="388.79999935626984"/>
    <n v="30"/>
  </r>
  <r>
    <d v="1996-09-16T00:00:00"/>
    <n v="10306"/>
    <x v="4"/>
    <n v="207"/>
    <n v="10"/>
  </r>
  <r>
    <d v="1996-09-16T00:00:00"/>
    <n v="10306"/>
    <x v="2"/>
    <n v="262"/>
    <n v="10"/>
  </r>
  <r>
    <d v="1996-09-16T00:00:00"/>
    <n v="10306"/>
    <x v="2"/>
    <n v="29.5"/>
    <n v="5"/>
  </r>
  <r>
    <d v="1996-09-17T00:00:00"/>
    <n v="10307"/>
    <x v="6"/>
    <n v="394"/>
    <n v="10"/>
  </r>
  <r>
    <d v="1996-09-17T00:00:00"/>
    <n v="10307"/>
    <x v="6"/>
    <n v="30"/>
    <n v="3"/>
  </r>
  <r>
    <d v="1996-09-18T00:00:00"/>
    <n v="10308"/>
    <x v="7"/>
    <n v="60"/>
    <n v="5"/>
  </r>
  <r>
    <d v="1996-09-18T00:00:00"/>
    <n v="10308"/>
    <x v="1"/>
    <n v="28.8"/>
    <n v="1"/>
  </r>
  <r>
    <d v="1996-09-19T00:00:00"/>
    <n v="10309"/>
    <x v="1"/>
    <n v="51.6"/>
    <n v="3"/>
  </r>
  <r>
    <d v="1996-09-19T00:00:00"/>
    <n v="10309"/>
    <x v="7"/>
    <n v="736"/>
    <n v="20"/>
  </r>
  <r>
    <d v="1996-09-19T00:00:00"/>
    <n v="10309"/>
    <x v="0"/>
    <n v="22.4"/>
    <n v="2"/>
  </r>
  <r>
    <d v="1996-09-19T00:00:00"/>
    <n v="10309"/>
    <x v="5"/>
    <n v="352"/>
    <n v="20"/>
  </r>
  <r>
    <d v="1996-09-19T00:00:00"/>
    <n v="10309"/>
    <x v="5"/>
    <n v="600"/>
    <n v="30"/>
  </r>
  <r>
    <d v="1996-09-20T00:00:00"/>
    <n v="10310"/>
    <x v="6"/>
    <n v="139"/>
    <n v="10"/>
  </r>
  <r>
    <d v="1996-09-20T00:00:00"/>
    <n v="10310"/>
    <x v="6"/>
    <n v="197"/>
    <n v="5"/>
  </r>
  <r>
    <d v="1996-09-20T00:00:00"/>
    <n v="10311"/>
    <x v="0"/>
    <n v="67.2"/>
    <n v="6"/>
  </r>
  <r>
    <d v="1996-09-20T00:00:00"/>
    <n v="10311"/>
    <x v="1"/>
    <n v="201.6"/>
    <n v="7"/>
  </r>
  <r>
    <d v="1996-09-23T00:00:00"/>
    <n v="10312"/>
    <x v="7"/>
    <n v="62"/>
    <n v="10"/>
  </r>
  <r>
    <d v="1996-09-23T00:00:00"/>
    <n v="10312"/>
    <x v="3"/>
    <n v="145.6"/>
    <n v="4"/>
  </r>
  <r>
    <d v="1996-09-23T00:00:00"/>
    <n v="10312"/>
    <x v="7"/>
    <n v="883.2"/>
    <n v="24"/>
  </r>
  <r>
    <d v="1996-09-23T00:00:00"/>
    <n v="10312"/>
    <x v="2"/>
    <n v="524"/>
    <n v="20"/>
  </r>
  <r>
    <d v="1996-09-24T00:00:00"/>
    <n v="10313"/>
    <x v="4"/>
    <n v="182.4"/>
    <n v="12"/>
  </r>
  <r>
    <d v="1996-09-25T00:00:00"/>
    <n v="10314"/>
    <x v="1"/>
    <n v="921.59999847412109"/>
    <n v="40"/>
  </r>
  <r>
    <d v="1996-09-25T00:00:00"/>
    <n v="10314"/>
    <x v="4"/>
    <n v="286.19999952614307"/>
    <n v="30"/>
  </r>
  <r>
    <d v="1996-09-25T00:00:00"/>
    <n v="10314"/>
    <x v="6"/>
    <n v="886.49999853223562"/>
    <n v="25"/>
  </r>
  <r>
    <d v="1996-09-26T00:00:00"/>
    <n v="10315"/>
    <x v="7"/>
    <n v="156.80000000000001"/>
    <n v="14"/>
  </r>
  <r>
    <d v="1996-09-26T00:00:00"/>
    <n v="10315"/>
    <x v="7"/>
    <n v="360"/>
    <n v="30"/>
  </r>
  <r>
    <d v="1996-09-27T00:00:00"/>
    <n v="10316"/>
    <x v="4"/>
    <n v="77"/>
    <n v="10"/>
  </r>
  <r>
    <d v="1996-09-27T00:00:00"/>
    <n v="10316"/>
    <x v="6"/>
    <n v="2758"/>
    <n v="70"/>
  </r>
  <r>
    <d v="1996-09-30T00:00:00"/>
    <n v="10317"/>
    <x v="7"/>
    <n v="288"/>
    <n v="20"/>
  </r>
  <r>
    <d v="1996-10-01T00:00:00"/>
    <n v="10318"/>
    <x v="4"/>
    <n v="154"/>
    <n v="20"/>
  </r>
  <r>
    <d v="1996-10-01T00:00:00"/>
    <n v="10318"/>
    <x v="7"/>
    <n v="86.4"/>
    <n v="6"/>
  </r>
  <r>
    <d v="1996-10-02T00:00:00"/>
    <n v="10319"/>
    <x v="3"/>
    <n v="509.6"/>
    <n v="14"/>
  </r>
  <r>
    <d v="1996-10-02T00:00:00"/>
    <n v="10319"/>
    <x v="7"/>
    <n v="432"/>
    <n v="30"/>
  </r>
  <r>
    <d v="1996-10-02T00:00:00"/>
    <n v="10319"/>
    <x v="2"/>
    <n v="249.6"/>
    <n v="8"/>
  </r>
  <r>
    <d v="1996-10-03T00:00:00"/>
    <n v="10320"/>
    <x v="1"/>
    <n v="516"/>
    <n v="30"/>
  </r>
  <r>
    <d v="1996-10-03T00:00:00"/>
    <n v="10321"/>
    <x v="7"/>
    <n v="144"/>
    <n v="10"/>
  </r>
  <r>
    <d v="1996-10-04T00:00:00"/>
    <n v="10322"/>
    <x v="0"/>
    <n v="112"/>
    <n v="20"/>
  </r>
  <r>
    <d v="1996-10-07T00:00:00"/>
    <n v="10323"/>
    <x v="5"/>
    <n v="62"/>
    <n v="5"/>
  </r>
  <r>
    <d v="1996-10-07T00:00:00"/>
    <n v="10323"/>
    <x v="6"/>
    <n v="44.8"/>
    <n v="4"/>
  </r>
  <r>
    <d v="1996-10-07T00:00:00"/>
    <n v="10323"/>
    <x v="7"/>
    <n v="57.6"/>
    <n v="4"/>
  </r>
  <r>
    <d v="1996-10-08T00:00:00"/>
    <n v="10324"/>
    <x v="6"/>
    <n v="248.1149982601404"/>
    <n v="21"/>
  </r>
  <r>
    <d v="1996-10-08T00:00:00"/>
    <n v="10324"/>
    <x v="7"/>
    <n v="856.79999399185181"/>
    <n v="70"/>
  </r>
  <r>
    <d v="1996-10-08T00:00:00"/>
    <n v="10324"/>
    <x v="4"/>
    <n v="288"/>
    <n v="30"/>
  </r>
  <r>
    <d v="1996-10-08T00:00:00"/>
    <n v="10324"/>
    <x v="1"/>
    <n v="1495.9999895095825"/>
    <n v="40"/>
  </r>
  <r>
    <d v="1996-10-08T00:00:00"/>
    <n v="10324"/>
    <x v="5"/>
    <n v="2386.7999832630157"/>
    <n v="80"/>
  </r>
  <r>
    <d v="1996-10-09T00:00:00"/>
    <n v="10325"/>
    <x v="3"/>
    <n v="167.4"/>
    <n v="9"/>
  </r>
  <r>
    <d v="1996-10-09T00:00:00"/>
    <n v="10325"/>
    <x v="5"/>
    <n v="120"/>
    <n v="6"/>
  </r>
  <r>
    <d v="1996-10-09T00:00:00"/>
    <n v="10325"/>
    <x v="1"/>
    <n v="40"/>
    <n v="4"/>
  </r>
  <r>
    <d v="1996-10-09T00:00:00"/>
    <n v="10325"/>
    <x v="1"/>
    <n v="1112"/>
    <n v="40"/>
  </r>
  <r>
    <d v="1996-10-09T00:00:00"/>
    <n v="10325"/>
    <x v="4"/>
    <n v="57.6"/>
    <n v="12"/>
  </r>
  <r>
    <d v="1996-10-10T00:00:00"/>
    <n v="10326"/>
    <x v="5"/>
    <n v="422.4"/>
    <n v="24"/>
  </r>
  <r>
    <d v="1996-10-10T00:00:00"/>
    <n v="10326"/>
    <x v="0"/>
    <n v="249.6"/>
    <n v="16"/>
  </r>
  <r>
    <d v="1996-10-10T00:00:00"/>
    <n v="10326"/>
    <x v="7"/>
    <n v="310"/>
    <n v="50"/>
  </r>
  <r>
    <d v="1996-10-11T00:00:00"/>
    <n v="10327"/>
    <x v="7"/>
    <n v="303.99999886751175"/>
    <n v="25"/>
  </r>
  <r>
    <d v="1996-10-11T00:00:00"/>
    <n v="10327"/>
    <x v="1"/>
    <n v="671.99999749660492"/>
    <n v="50"/>
  </r>
  <r>
    <d v="1996-10-11T00:00:00"/>
    <n v="10327"/>
    <x v="4"/>
    <n v="579.59999784082174"/>
    <n v="35"/>
  </r>
  <r>
    <d v="1996-10-11T00:00:00"/>
    <n v="10327"/>
    <x v="4"/>
    <n v="254.39999905228615"/>
    <n v="30"/>
  </r>
  <r>
    <d v="1996-10-14T00:00:00"/>
    <n v="10328"/>
    <x v="1"/>
    <n v="396"/>
    <n v="9"/>
  </r>
  <r>
    <d v="1996-10-14T00:00:00"/>
    <n v="10328"/>
    <x v="5"/>
    <n v="672"/>
    <n v="40"/>
  </r>
  <r>
    <d v="1996-10-14T00:00:00"/>
    <n v="10328"/>
    <x v="6"/>
    <n v="100"/>
    <n v="10"/>
  </r>
  <r>
    <d v="1996-10-15T00:00:00"/>
    <n v="10329"/>
    <x v="6"/>
    <n v="69.349999945610762"/>
    <n v="10"/>
  </r>
  <r>
    <d v="1996-10-15T00:00:00"/>
    <n v="10329"/>
    <x v="4"/>
    <n v="157.31999987661837"/>
    <n v="8"/>
  </r>
  <r>
    <d v="1996-10-15T00:00:00"/>
    <n v="10329"/>
    <x v="7"/>
    <n v="4005.1999968588352"/>
    <n v="20"/>
  </r>
  <r>
    <d v="1996-10-15T00:00:00"/>
    <n v="10329"/>
    <x v="0"/>
    <n v="346.55999972820285"/>
    <n v="12"/>
  </r>
  <r>
    <d v="1996-10-16T00:00:00"/>
    <n v="10330"/>
    <x v="6"/>
    <n v="1058.2499925792217"/>
    <n v="50"/>
  </r>
  <r>
    <d v="1996-10-16T00:00:00"/>
    <n v="10330"/>
    <x v="1"/>
    <n v="590.74999585747719"/>
    <n v="25"/>
  </r>
  <r>
    <d v="1996-10-16T00:00:00"/>
    <n v="10331"/>
    <x v="2"/>
    <n v="88.5"/>
    <n v="15"/>
  </r>
  <r>
    <d v="1996-10-17T00:00:00"/>
    <n v="10332"/>
    <x v="4"/>
    <n v="1599.9999940395355"/>
    <n v="40"/>
  </r>
  <r>
    <d v="1996-10-17T00:00:00"/>
    <n v="10332"/>
    <x v="0"/>
    <n v="89.599999666213989"/>
    <n v="10"/>
  </r>
  <r>
    <d v="1996-10-17T00:00:00"/>
    <n v="10332"/>
    <x v="6"/>
    <n v="97.279999637603751"/>
    <n v="16"/>
  </r>
  <r>
    <d v="1996-10-18T00:00:00"/>
    <n v="10333"/>
    <x v="3"/>
    <n v="186"/>
    <n v="10"/>
  </r>
  <r>
    <d v="1996-10-18T00:00:00"/>
    <n v="10333"/>
    <x v="1"/>
    <n v="619.19999897480011"/>
    <n v="40"/>
  </r>
  <r>
    <d v="1996-10-18T00:00:00"/>
    <n v="10333"/>
    <x v="6"/>
    <n v="71.99999988079071"/>
    <n v="10"/>
  </r>
  <r>
    <d v="1996-10-21T00:00:00"/>
    <n v="10334"/>
    <x v="0"/>
    <n v="44.8"/>
    <n v="8"/>
  </r>
  <r>
    <d v="1996-10-21T00:00:00"/>
    <n v="10334"/>
    <x v="6"/>
    <n v="100"/>
    <n v="10"/>
  </r>
  <r>
    <d v="1996-10-22T00:00:00"/>
    <n v="10335"/>
    <x v="7"/>
    <n v="85.119999682903298"/>
    <n v="7"/>
  </r>
  <r>
    <d v="1996-10-22T00:00:00"/>
    <n v="10335"/>
    <x v="1"/>
    <n v="199.99999925494194"/>
    <n v="25"/>
  </r>
  <r>
    <d v="1996-10-22T00:00:00"/>
    <n v="10335"/>
    <x v="1"/>
    <n v="122.87999954223632"/>
    <n v="6"/>
  </r>
  <r>
    <d v="1996-10-22T00:00:00"/>
    <n v="10335"/>
    <x v="3"/>
    <n v="1628.1599939346313"/>
    <n v="48"/>
  </r>
  <r>
    <d v="1996-10-23T00:00:00"/>
    <n v="10336"/>
    <x v="5"/>
    <n v="285.11999952793121"/>
    <n v="18"/>
  </r>
  <r>
    <d v="1996-10-24T00:00:00"/>
    <n v="10337"/>
    <x v="4"/>
    <n v="582.4"/>
    <n v="28"/>
  </r>
  <r>
    <d v="1996-10-24T00:00:00"/>
    <n v="10337"/>
    <x v="1"/>
    <n v="695"/>
    <n v="25"/>
  </r>
  <r>
    <d v="1996-10-24T00:00:00"/>
    <n v="10337"/>
    <x v="4"/>
    <n v="304"/>
    <n v="20"/>
  </r>
  <r>
    <d v="1996-10-24T00:00:00"/>
    <n v="10337"/>
    <x v="6"/>
    <n v="597.6"/>
    <n v="24"/>
  </r>
  <r>
    <d v="1996-10-24T00:00:00"/>
    <n v="10337"/>
    <x v="0"/>
    <n v="288"/>
    <n v="40"/>
  </r>
  <r>
    <d v="1996-10-25T00:00:00"/>
    <n v="10338"/>
    <x v="4"/>
    <n v="310.5"/>
    <n v="15"/>
  </r>
  <r>
    <d v="1996-10-25T00:00:00"/>
    <n v="10338"/>
    <x v="2"/>
    <n v="624"/>
    <n v="20"/>
  </r>
  <r>
    <d v="1996-10-28T00:00:00"/>
    <n v="10339"/>
    <x v="5"/>
    <n v="176"/>
    <n v="10"/>
  </r>
  <r>
    <d v="1996-10-28T00:00:00"/>
    <n v="10339"/>
    <x v="2"/>
    <n v="2074.7999983727932"/>
    <n v="70"/>
  </r>
  <r>
    <d v="1996-10-28T00:00:00"/>
    <n v="10339"/>
    <x v="6"/>
    <n v="1103.2"/>
    <n v="28"/>
  </r>
  <r>
    <d v="1996-10-29T00:00:00"/>
    <n v="10340"/>
    <x v="4"/>
    <n v="949.99999925494194"/>
    <n v="20"/>
  </r>
  <r>
    <d v="1996-10-29T00:00:00"/>
    <n v="10340"/>
    <x v="4"/>
    <n v="87.779999931156638"/>
    <n v="12"/>
  </r>
  <r>
    <d v="1996-10-29T00:00:00"/>
    <n v="10340"/>
    <x v="7"/>
    <n v="1398.3999989032745"/>
    <n v="40"/>
  </r>
  <r>
    <d v="1996-10-29T00:00:00"/>
    <n v="10341"/>
    <x v="1"/>
    <n v="16"/>
    <n v="8"/>
  </r>
  <r>
    <d v="1996-10-29T00:00:00"/>
    <n v="10341"/>
    <x v="1"/>
    <n v="336.59999763965607"/>
    <n v="9"/>
  </r>
  <r>
    <d v="1996-10-30T00:00:00"/>
    <n v="10342"/>
    <x v="7"/>
    <n v="291.83999891281127"/>
    <n v="24"/>
  </r>
  <r>
    <d v="1996-10-30T00:00:00"/>
    <n v="10342"/>
    <x v="2"/>
    <n v="614.39999771118164"/>
    <n v="40"/>
  </r>
  <r>
    <d v="1996-10-30T00:00:00"/>
    <n v="10342"/>
    <x v="4"/>
    <n v="486.3999981880188"/>
    <n v="40"/>
  </r>
  <r>
    <d v="1996-10-30T00:00:00"/>
    <n v="10342"/>
    <x v="1"/>
    <n v="447.99999833106995"/>
    <n v="56"/>
  </r>
  <r>
    <d v="1996-10-31T00:00:00"/>
    <n v="10343"/>
    <x v="0"/>
    <n v="1330"/>
    <n v="50"/>
  </r>
  <r>
    <d v="1996-10-31T00:00:00"/>
    <n v="10343"/>
    <x v="6"/>
    <n v="37.999999970197678"/>
    <n v="4"/>
  </r>
  <r>
    <d v="1996-10-31T00:00:00"/>
    <n v="10343"/>
    <x v="7"/>
    <n v="216"/>
    <n v="15"/>
  </r>
  <r>
    <d v="1996-11-01T00:00:00"/>
    <n v="10344"/>
    <x v="5"/>
    <n v="616"/>
    <n v="35"/>
  </r>
  <r>
    <d v="1996-11-01T00:00:00"/>
    <n v="10344"/>
    <x v="5"/>
    <n v="1680"/>
    <n v="70"/>
  </r>
  <r>
    <d v="1996-11-04T00:00:00"/>
    <n v="10345"/>
    <x v="5"/>
    <n v="2240"/>
    <n v="70"/>
  </r>
  <r>
    <d v="1996-11-04T00:00:00"/>
    <n v="10345"/>
    <x v="6"/>
    <n v="584"/>
    <n v="80"/>
  </r>
  <r>
    <d v="1996-11-04T00:00:00"/>
    <n v="10345"/>
    <x v="0"/>
    <n v="100.8"/>
    <n v="9"/>
  </r>
  <r>
    <d v="1996-11-05T00:00:00"/>
    <n v="10346"/>
    <x v="0"/>
    <n v="608"/>
    <n v="20"/>
  </r>
  <r>
    <d v="1996-11-05T00:00:00"/>
    <n v="10346"/>
    <x v="2"/>
    <n v="1010.8799983263016"/>
    <n v="36"/>
  </r>
  <r>
    <d v="1996-11-06T00:00:00"/>
    <n v="10347"/>
    <x v="7"/>
    <n v="31.619999778270724"/>
    <n v="6"/>
  </r>
  <r>
    <d v="1996-11-06T00:00:00"/>
    <n v="10347"/>
    <x v="4"/>
    <n v="58.8"/>
    <n v="4"/>
  </r>
  <r>
    <d v="1996-11-06T00:00:00"/>
    <n v="10347"/>
    <x v="6"/>
    <n v="112"/>
    <n v="10"/>
  </r>
  <r>
    <d v="1996-11-06T00:00:00"/>
    <n v="10347"/>
    <x v="7"/>
    <n v="611.99999570846558"/>
    <n v="50"/>
  </r>
  <r>
    <d v="1996-11-07T00:00:00"/>
    <n v="10348"/>
    <x v="7"/>
    <n v="183.59999871253967"/>
    <n v="15"/>
  </r>
  <r>
    <d v="1996-11-07T00:00:00"/>
    <n v="10348"/>
    <x v="0"/>
    <n v="180"/>
    <n v="25"/>
  </r>
  <r>
    <d v="1996-11-08T00:00:00"/>
    <n v="10349"/>
    <x v="2"/>
    <n v="141.6"/>
    <n v="24"/>
  </r>
  <r>
    <d v="1996-11-11T00:00:00"/>
    <n v="10350"/>
    <x v="6"/>
    <n v="175.49999970942736"/>
    <n v="15"/>
  </r>
  <r>
    <d v="1996-11-11T00:00:00"/>
    <n v="10350"/>
    <x v="1"/>
    <n v="466.5599992275238"/>
    <n v="18"/>
  </r>
  <r>
    <d v="1996-11-11T00:00:00"/>
    <n v="10351"/>
    <x v="5"/>
    <n v="159.59999987483025"/>
    <n v="10"/>
  </r>
  <r>
    <d v="1996-11-11T00:00:00"/>
    <n v="10351"/>
    <x v="7"/>
    <n v="4005.1999968588352"/>
    <n v="20"/>
  </r>
  <r>
    <d v="1996-11-11T00:00:00"/>
    <n v="10351"/>
    <x v="4"/>
    <n v="100.1"/>
    <n v="13"/>
  </r>
  <r>
    <d v="1996-11-11T00:00:00"/>
    <n v="10351"/>
    <x v="5"/>
    <n v="1133.8249991107732"/>
    <n v="77"/>
  </r>
  <r>
    <d v="1996-11-12T00:00:00"/>
    <n v="10352"/>
    <x v="2"/>
    <n v="100.29999929666519"/>
    <n v="20"/>
  </r>
  <r>
    <d v="1996-11-12T00:00:00"/>
    <n v="10352"/>
    <x v="7"/>
    <n v="36"/>
    <n v="10"/>
  </r>
  <r>
    <d v="1996-11-13T00:00:00"/>
    <n v="10353"/>
    <x v="1"/>
    <n v="161.27999939918519"/>
    <n v="12"/>
  </r>
  <r>
    <d v="1996-11-13T00:00:00"/>
    <n v="10353"/>
    <x v="7"/>
    <n v="8431.9999685883522"/>
    <n v="50"/>
  </r>
  <r>
    <d v="1996-11-14T00:00:00"/>
    <n v="10354"/>
    <x v="7"/>
    <n v="172.8"/>
    <n v="12"/>
  </r>
  <r>
    <d v="1996-11-14T00:00:00"/>
    <n v="10354"/>
    <x v="2"/>
    <n v="396"/>
    <n v="4"/>
  </r>
  <r>
    <d v="1996-11-15T00:00:00"/>
    <n v="10355"/>
    <x v="7"/>
    <n v="90"/>
    <n v="25"/>
  </r>
  <r>
    <d v="1996-11-15T00:00:00"/>
    <n v="10355"/>
    <x v="0"/>
    <n v="390"/>
    <n v="25"/>
  </r>
  <r>
    <d v="1996-11-18T00:00:00"/>
    <n v="10356"/>
    <x v="1"/>
    <n v="300"/>
    <n v="30"/>
  </r>
  <r>
    <d v="1996-11-18T00:00:00"/>
    <n v="10356"/>
    <x v="2"/>
    <n v="230.4"/>
    <n v="12"/>
  </r>
  <r>
    <d v="1996-11-18T00:00:00"/>
    <n v="10356"/>
    <x v="1"/>
    <n v="576"/>
    <n v="20"/>
  </r>
  <r>
    <d v="1996-11-19T00:00:00"/>
    <n v="10357"/>
    <x v="4"/>
    <n v="595.19999778270721"/>
    <n v="30"/>
  </r>
  <r>
    <d v="1996-11-19T00:00:00"/>
    <n v="10357"/>
    <x v="6"/>
    <n v="398.4"/>
    <n v="16"/>
  </r>
  <r>
    <d v="1996-11-19T00:00:00"/>
    <n v="10357"/>
    <x v="1"/>
    <n v="174.07999935150147"/>
    <n v="8"/>
  </r>
  <r>
    <d v="1996-11-20T00:00:00"/>
    <n v="10358"/>
    <x v="7"/>
    <n v="34.19999997317791"/>
    <n v="10"/>
  </r>
  <r>
    <d v="1996-11-20T00:00:00"/>
    <n v="10358"/>
    <x v="7"/>
    <n v="106.3999999165535"/>
    <n v="10"/>
  </r>
  <r>
    <d v="1996-11-20T00:00:00"/>
    <n v="10358"/>
    <x v="4"/>
    <n v="288.79999977350235"/>
    <n v="20"/>
  </r>
  <r>
    <d v="1996-11-21T00:00:00"/>
    <n v="10359"/>
    <x v="6"/>
    <n v="739.47999942004674"/>
    <n v="56"/>
  </r>
  <r>
    <d v="1996-11-21T00:00:00"/>
    <n v="10359"/>
    <x v="1"/>
    <n v="664.99999947845936"/>
    <n v="70"/>
  </r>
  <r>
    <d v="1996-11-21T00:00:00"/>
    <n v="10359"/>
    <x v="1"/>
    <n v="2067.1999983787537"/>
    <n v="80"/>
  </r>
  <r>
    <d v="1996-11-22T00:00:00"/>
    <n v="10360"/>
    <x v="2"/>
    <n v="165.2"/>
    <n v="28"/>
  </r>
  <r>
    <d v="1996-11-22T00:00:00"/>
    <n v="10360"/>
    <x v="3"/>
    <n v="1092"/>
    <n v="30"/>
  </r>
  <r>
    <d v="1996-11-22T00:00:00"/>
    <n v="10360"/>
    <x v="2"/>
    <n v="3465"/>
    <n v="35"/>
  </r>
  <r>
    <d v="1996-11-22T00:00:00"/>
    <n v="10360"/>
    <x v="7"/>
    <n v="2108"/>
    <n v="10"/>
  </r>
  <r>
    <d v="1996-11-22T00:00:00"/>
    <n v="10360"/>
    <x v="6"/>
    <n v="560"/>
    <n v="35"/>
  </r>
  <r>
    <d v="1996-11-22T00:00:00"/>
    <n v="10361"/>
    <x v="1"/>
    <n v="1346.3999977707863"/>
    <n v="55"/>
  </r>
  <r>
    <d v="1996-11-22T00:00:00"/>
    <n v="10361"/>
    <x v="7"/>
    <n v="699.83999884128571"/>
    <n v="54"/>
  </r>
  <r>
    <d v="1996-11-25T00:00:00"/>
    <n v="10362"/>
    <x v="6"/>
    <n v="560"/>
    <n v="50"/>
  </r>
  <r>
    <d v="1996-11-25T00:00:00"/>
    <n v="10362"/>
    <x v="3"/>
    <n v="848"/>
    <n v="20"/>
  </r>
  <r>
    <d v="1996-11-25T00:00:00"/>
    <n v="10362"/>
    <x v="2"/>
    <n v="141.6"/>
    <n v="24"/>
  </r>
  <r>
    <d v="1996-11-26T00:00:00"/>
    <n v="10363"/>
    <x v="1"/>
    <n v="200"/>
    <n v="20"/>
  </r>
  <r>
    <d v="1996-11-26T00:00:00"/>
    <n v="10363"/>
    <x v="7"/>
    <n v="74.400000000000006"/>
    <n v="12"/>
  </r>
  <r>
    <d v="1996-11-26T00:00:00"/>
    <n v="10363"/>
    <x v="7"/>
    <n v="172.8"/>
    <n v="12"/>
  </r>
  <r>
    <d v="1996-11-26T00:00:00"/>
    <n v="10364"/>
    <x v="1"/>
    <n v="864"/>
    <n v="30"/>
  </r>
  <r>
    <d v="1996-11-26T00:00:00"/>
    <n v="10364"/>
    <x v="1"/>
    <n v="86"/>
    <n v="5"/>
  </r>
  <r>
    <d v="1996-11-27T00:00:00"/>
    <n v="10365"/>
    <x v="1"/>
    <n v="403.2"/>
    <n v="24"/>
  </r>
  <r>
    <d v="1996-11-28T00:00:00"/>
    <n v="10366"/>
    <x v="5"/>
    <n v="84"/>
    <n v="5"/>
  </r>
  <r>
    <d v="1996-11-28T00:00:00"/>
    <n v="10366"/>
    <x v="5"/>
    <n v="52"/>
    <n v="5"/>
  </r>
  <r>
    <d v="1996-11-28T00:00:00"/>
    <n v="10367"/>
    <x v="2"/>
    <n v="106.2"/>
    <n v="18"/>
  </r>
  <r>
    <d v="1996-11-28T00:00:00"/>
    <n v="10367"/>
    <x v="5"/>
    <n v="252"/>
    <n v="15"/>
  </r>
  <r>
    <d v="1996-11-28T00:00:00"/>
    <n v="10367"/>
    <x v="5"/>
    <n v="72.8"/>
    <n v="7"/>
  </r>
  <r>
    <d v="1996-11-28T00:00:00"/>
    <n v="10367"/>
    <x v="7"/>
    <n v="403.2"/>
    <n v="36"/>
  </r>
  <r>
    <d v="1996-11-29T00:00:00"/>
    <n v="10368"/>
    <x v="6"/>
    <n v="35.999999940395355"/>
    <n v="5"/>
  </r>
  <r>
    <d v="1996-11-29T00:00:00"/>
    <n v="10368"/>
    <x v="3"/>
    <n v="425.87999929487705"/>
    <n v="13"/>
  </r>
  <r>
    <d v="1996-11-29T00:00:00"/>
    <n v="10368"/>
    <x v="0"/>
    <n v="390"/>
    <n v="25"/>
  </r>
  <r>
    <d v="1996-11-29T00:00:00"/>
    <n v="10368"/>
    <x v="0"/>
    <n v="837.89999861270189"/>
    <n v="35"/>
  </r>
  <r>
    <d v="1996-12-02T00:00:00"/>
    <n v="10369"/>
    <x v="2"/>
    <n v="1980"/>
    <n v="20"/>
  </r>
  <r>
    <d v="1996-12-02T00:00:00"/>
    <n v="10369"/>
    <x v="0"/>
    <n v="410.40000000000003"/>
    <n v="18"/>
  </r>
  <r>
    <d v="1996-12-03T00:00:00"/>
    <n v="10370"/>
    <x v="3"/>
    <n v="135.99999904632568"/>
    <n v="20"/>
  </r>
  <r>
    <d v="1996-12-03T00:00:00"/>
    <n v="10370"/>
    <x v="0"/>
    <n v="798"/>
    <n v="30"/>
  </r>
  <r>
    <d v="1996-12-03T00:00:00"/>
    <n v="10370"/>
    <x v="7"/>
    <n v="183.59999871253967"/>
    <n v="15"/>
  </r>
  <r>
    <d v="1996-12-03T00:00:00"/>
    <n v="10371"/>
    <x v="4"/>
    <n v="72.959999728202817"/>
    <n v="6"/>
  </r>
  <r>
    <d v="1996-12-04T00:00:00"/>
    <n v="10372"/>
    <x v="6"/>
    <n v="583.20000000000005"/>
    <n v="12"/>
  </r>
  <r>
    <d v="1996-12-04T00:00:00"/>
    <n v="10372"/>
    <x v="7"/>
    <n v="6324"/>
    <n v="40"/>
  </r>
  <r>
    <d v="1996-12-04T00:00:00"/>
    <n v="10372"/>
    <x v="1"/>
    <n v="1428"/>
    <n v="70"/>
  </r>
  <r>
    <d v="1996-12-04T00:00:00"/>
    <n v="10372"/>
    <x v="1"/>
    <n v="875.69999999999993"/>
    <n v="42"/>
  </r>
  <r>
    <d v="1996-12-05T00:00:00"/>
    <n v="10373"/>
    <x v="4"/>
    <n v="678.39999747276306"/>
    <n v="80"/>
  </r>
  <r>
    <d v="1996-12-05T00:00:00"/>
    <n v="10373"/>
    <x v="1"/>
    <n v="687.99999743700027"/>
    <n v="50"/>
  </r>
  <r>
    <d v="1996-12-05T00:00:00"/>
    <n v="10374"/>
    <x v="1"/>
    <n v="300"/>
    <n v="30"/>
  </r>
  <r>
    <d v="1996-12-05T00:00:00"/>
    <n v="10374"/>
    <x v="4"/>
    <n v="159"/>
    <n v="15"/>
  </r>
  <r>
    <d v="1996-12-06T00:00:00"/>
    <n v="10375"/>
    <x v="3"/>
    <n v="279"/>
    <n v="15"/>
  </r>
  <r>
    <d v="1996-12-06T00:00:00"/>
    <n v="10375"/>
    <x v="2"/>
    <n v="59"/>
    <n v="10"/>
  </r>
  <r>
    <d v="1996-12-09T00:00:00"/>
    <n v="10376"/>
    <x v="1"/>
    <n v="398.99999968707561"/>
    <n v="42"/>
  </r>
  <r>
    <d v="1996-12-09T00:00:00"/>
    <n v="10377"/>
    <x v="3"/>
    <n v="618.79999566078186"/>
    <n v="20"/>
  </r>
  <r>
    <d v="1996-12-09T00:00:00"/>
    <n v="10377"/>
    <x v="7"/>
    <n v="244.79999828338623"/>
    <n v="20"/>
  </r>
  <r>
    <d v="1996-12-10T00:00:00"/>
    <n v="10378"/>
    <x v="1"/>
    <n v="103.2"/>
    <n v="6"/>
  </r>
  <r>
    <d v="1996-12-11T00:00:00"/>
    <n v="10379"/>
    <x v="4"/>
    <n v="55.439999908208847"/>
    <n v="8"/>
  </r>
  <r>
    <d v="1996-12-11T00:00:00"/>
    <n v="10379"/>
    <x v="5"/>
    <n v="505.43999916315079"/>
    <n v="16"/>
  </r>
  <r>
    <d v="1996-12-11T00:00:00"/>
    <n v="10379"/>
    <x v="5"/>
    <n v="302.39999949932098"/>
    <n v="20"/>
  </r>
  <r>
    <d v="1996-12-12T00:00:00"/>
    <n v="10380"/>
    <x v="4"/>
    <n v="335.33999944478273"/>
    <n v="18"/>
  </r>
  <r>
    <d v="1996-12-12T00:00:00"/>
    <n v="10380"/>
    <x v="2"/>
    <n v="471.59999921917915"/>
    <n v="20"/>
  </r>
  <r>
    <d v="1996-12-12T00:00:00"/>
    <n v="10380"/>
    <x v="1"/>
    <n v="146.87999975681305"/>
    <n v="6"/>
  </r>
  <r>
    <d v="1996-12-12T00:00:00"/>
    <n v="10380"/>
    <x v="7"/>
    <n v="360"/>
    <n v="30"/>
  </r>
  <r>
    <d v="1996-12-12T00:00:00"/>
    <n v="10381"/>
    <x v="3"/>
    <n v="112"/>
    <n v="14"/>
  </r>
  <r>
    <d v="1996-12-13T00:00:00"/>
    <n v="10382"/>
    <x v="4"/>
    <n v="450"/>
    <n v="9"/>
  </r>
  <r>
    <d v="1996-12-13T00:00:00"/>
    <n v="10382"/>
    <x v="3"/>
    <n v="400"/>
    <n v="50"/>
  </r>
  <r>
    <d v="1996-12-13T00:00:00"/>
    <n v="10382"/>
    <x v="5"/>
    <n v="544"/>
    <n v="32"/>
  </r>
  <r>
    <d v="1996-12-13T00:00:00"/>
    <n v="10382"/>
    <x v="2"/>
    <n v="1386"/>
    <n v="14"/>
  </r>
  <r>
    <d v="1996-12-13T00:00:00"/>
    <n v="10382"/>
    <x v="1"/>
    <n v="120"/>
    <n v="60"/>
  </r>
  <r>
    <d v="1996-12-16T00:00:00"/>
    <n v="10383"/>
    <x v="4"/>
    <n v="96"/>
    <n v="20"/>
  </r>
  <r>
    <d v="1996-12-16T00:00:00"/>
    <n v="10383"/>
    <x v="6"/>
    <n v="195"/>
    <n v="15"/>
  </r>
  <r>
    <d v="1996-12-16T00:00:00"/>
    <n v="10383"/>
    <x v="0"/>
    <n v="608"/>
    <n v="20"/>
  </r>
  <r>
    <d v="1996-12-16T00:00:00"/>
    <n v="10384"/>
    <x v="6"/>
    <n v="1814.4"/>
    <n v="28"/>
  </r>
  <r>
    <d v="1996-12-16T00:00:00"/>
    <n v="10384"/>
    <x v="1"/>
    <n v="408"/>
    <n v="15"/>
  </r>
  <r>
    <d v="1996-12-17T00:00:00"/>
    <n v="10385"/>
    <x v="3"/>
    <n v="191.99999928474426"/>
    <n v="10"/>
  </r>
  <r>
    <d v="1996-12-17T00:00:00"/>
    <n v="10385"/>
    <x v="1"/>
    <n v="435.19999837875366"/>
    <n v="20"/>
  </r>
  <r>
    <d v="1996-12-17T00:00:00"/>
    <n v="10385"/>
    <x v="6"/>
    <n v="63.999999761581421"/>
    <n v="8"/>
  </r>
  <r>
    <d v="1996-12-18T00:00:00"/>
    <n v="10386"/>
    <x v="7"/>
    <n v="112"/>
    <n v="10"/>
  </r>
  <r>
    <d v="1996-12-18T00:00:00"/>
    <n v="10386"/>
    <x v="7"/>
    <n v="54"/>
    <n v="15"/>
  </r>
  <r>
    <d v="1996-12-18T00:00:00"/>
    <n v="10387"/>
    <x v="1"/>
    <n v="258"/>
    <n v="15"/>
  </r>
  <r>
    <d v="1996-12-18T00:00:00"/>
    <n v="10387"/>
    <x v="1"/>
    <n v="528"/>
    <n v="12"/>
  </r>
  <r>
    <d v="1996-12-18T00:00:00"/>
    <n v="10387"/>
    <x v="7"/>
    <n v="54"/>
    <n v="15"/>
  </r>
  <r>
    <d v="1996-12-18T00:00:00"/>
    <n v="10387"/>
    <x v="3"/>
    <n v="218.4"/>
    <n v="6"/>
  </r>
  <r>
    <d v="1996-12-19T00:00:00"/>
    <n v="10388"/>
    <x v="4"/>
    <n v="91.199999660253525"/>
    <n v="15"/>
  </r>
  <r>
    <d v="1996-12-19T00:00:00"/>
    <n v="10388"/>
    <x v="0"/>
    <n v="89.599999666213989"/>
    <n v="20"/>
  </r>
  <r>
    <d v="1996-12-19T00:00:00"/>
    <n v="10388"/>
    <x v="2"/>
    <n v="1048"/>
    <n v="40"/>
  </r>
  <r>
    <d v="1996-12-20T00:00:00"/>
    <n v="10389"/>
    <x v="4"/>
    <n v="396.8"/>
    <n v="16"/>
  </r>
  <r>
    <d v="1996-12-20T00:00:00"/>
    <n v="10389"/>
    <x v="2"/>
    <n v="288"/>
    <n v="15"/>
  </r>
  <r>
    <d v="1996-12-20T00:00:00"/>
    <n v="10389"/>
    <x v="6"/>
    <n v="788"/>
    <n v="20"/>
  </r>
  <r>
    <d v="1996-12-20T00:00:00"/>
    <n v="10389"/>
    <x v="7"/>
    <n v="360"/>
    <n v="30"/>
  </r>
  <r>
    <d v="1996-12-23T00:00:00"/>
    <n v="10390"/>
    <x v="1"/>
    <n v="539.99999910593033"/>
    <n v="60"/>
  </r>
  <r>
    <d v="1996-12-23T00:00:00"/>
    <n v="10390"/>
    <x v="1"/>
    <n v="600.47999900579453"/>
    <n v="24"/>
  </r>
  <r>
    <d v="1996-12-23T00:00:00"/>
    <n v="10390"/>
    <x v="4"/>
    <n v="432"/>
    <n v="45"/>
  </r>
  <r>
    <d v="1996-12-23T00:00:00"/>
    <n v="10390"/>
    <x v="7"/>
    <n v="518.39999914169312"/>
    <n v="40"/>
  </r>
  <r>
    <d v="1996-12-23T00:00:00"/>
    <n v="10391"/>
    <x v="4"/>
    <n v="86.4"/>
    <n v="18"/>
  </r>
  <r>
    <d v="1996-12-24T00:00:00"/>
    <n v="10392"/>
    <x v="1"/>
    <n v="1440"/>
    <n v="50"/>
  </r>
  <r>
    <d v="1996-12-25T00:00:00"/>
    <n v="10393"/>
    <x v="7"/>
    <n v="285"/>
    <n v="25"/>
  </r>
  <r>
    <d v="1996-12-25T00:00:00"/>
    <n v="10393"/>
    <x v="3"/>
    <n v="585.90000000000009"/>
    <n v="42"/>
  </r>
  <r>
    <d v="1996-12-25T00:00:00"/>
    <n v="10393"/>
    <x v="6"/>
    <n v="58.800000000000004"/>
    <n v="7"/>
  </r>
  <r>
    <d v="1996-12-25T00:00:00"/>
    <n v="10393"/>
    <x v="6"/>
    <n v="1307.25"/>
    <n v="70"/>
  </r>
  <r>
    <d v="1996-12-25T00:00:00"/>
    <n v="10393"/>
    <x v="1"/>
    <n v="320"/>
    <n v="32"/>
  </r>
  <r>
    <d v="1996-12-25T00:00:00"/>
    <n v="10394"/>
    <x v="4"/>
    <n v="48"/>
    <n v="10"/>
  </r>
  <r>
    <d v="1996-12-25T00:00:00"/>
    <n v="10394"/>
    <x v="6"/>
    <n v="394"/>
    <n v="10"/>
  </r>
  <r>
    <d v="1996-12-26T00:00:00"/>
    <n v="10395"/>
    <x v="4"/>
    <n v="241.91999959945679"/>
    <n v="28"/>
  </r>
  <r>
    <d v="1996-12-26T00:00:00"/>
    <n v="10395"/>
    <x v="2"/>
    <n v="1650.599997267127"/>
    <n v="70"/>
  </r>
  <r>
    <d v="1996-12-26T00:00:00"/>
    <n v="10395"/>
    <x v="1"/>
    <n v="230.4"/>
    <n v="8"/>
  </r>
  <r>
    <d v="1996-12-27T00:00:00"/>
    <n v="10396"/>
    <x v="0"/>
    <n v="288"/>
    <n v="40"/>
  </r>
  <r>
    <d v="1996-12-27T00:00:00"/>
    <n v="10396"/>
    <x v="1"/>
    <n v="1032"/>
    <n v="60"/>
  </r>
  <r>
    <d v="1996-12-27T00:00:00"/>
    <n v="10396"/>
    <x v="1"/>
    <n v="583.79999999999995"/>
    <n v="21"/>
  </r>
  <r>
    <d v="1996-12-27T00:00:00"/>
    <n v="10397"/>
    <x v="6"/>
    <n v="67.999999523162842"/>
    <n v="10"/>
  </r>
  <r>
    <d v="1996-12-27T00:00:00"/>
    <n v="10397"/>
    <x v="3"/>
    <n v="648.71999545097356"/>
    <n v="18"/>
  </r>
  <r>
    <d v="1996-12-30T00:00:00"/>
    <n v="10398"/>
    <x v="7"/>
    <n v="432"/>
    <n v="30"/>
  </r>
  <r>
    <d v="1996-12-30T00:00:00"/>
    <n v="10398"/>
    <x v="2"/>
    <n v="2073.5999965667725"/>
    <n v="120"/>
  </r>
  <r>
    <d v="1996-12-31T00:00:00"/>
    <n v="10399"/>
    <x v="5"/>
    <n v="145.6"/>
    <n v="14"/>
  </r>
  <r>
    <d v="1996-12-31T00:00:00"/>
    <n v="10399"/>
    <x v="6"/>
    <n v="600"/>
    <n v="60"/>
  </r>
  <r>
    <d v="1996-12-31T00:00:00"/>
    <n v="10399"/>
    <x v="1"/>
    <n v="516"/>
    <n v="30"/>
  </r>
  <r>
    <d v="1996-12-31T00:00:00"/>
    <n v="10399"/>
    <x v="7"/>
    <n v="504"/>
    <n v="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1" applyNumberFormats="0" applyBorderFormats="0" applyFontFormats="0" applyPatternFormats="0" applyAlignmentFormats="0" applyWidthHeightFormats="1" dataCaption="值" updatedVersion="4" minRefreshableVersion="3" useAutoFormatting="1" itemPrintTitles="1" createdVersion="6" indent="0" outline="1" outlineData="1" multipleFieldFilters="0">
  <location ref="G4:K15" firstHeaderRow="0" firstDataRow="1" firstDataCol="1"/>
  <pivotFields count="6">
    <pivotField numFmtId="22" showAll="0"/>
    <pivotField showAll="0"/>
    <pivotField axis="axisRow" showAll="0" sortType="descending">
      <items count="9">
        <item x="6"/>
        <item x="0"/>
        <item x="4"/>
        <item x="1"/>
        <item x="2"/>
        <item x="3"/>
        <item x="5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dataField="1" showAll="0"/>
    <pivotField axis="axisRow" showAll="0" defaultSubtotal="0">
      <items count="2">
        <item x="1"/>
        <item n="普通类商品" x="0"/>
      </items>
    </pivotField>
  </pivotFields>
  <rowFields count="2">
    <field x="5"/>
    <field x="2"/>
  </rowFields>
  <rowItems count="11">
    <i>
      <x/>
    </i>
    <i r="1">
      <x v="3"/>
    </i>
    <i r="1">
      <x v="7"/>
    </i>
    <i r="1">
      <x/>
    </i>
    <i r="1">
      <x v="2"/>
    </i>
    <i>
      <x v="1"/>
    </i>
    <i r="1">
      <x v="6"/>
    </i>
    <i r="1">
      <x v="4"/>
    </i>
    <i r="1">
      <x v="1"/>
    </i>
    <i r="1"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总数量" fld="4" baseField="0" baseItem="0"/>
    <dataField name="数量百分比" fld="4" showDataAs="percentOfCol" baseField="0" baseItem="0" numFmtId="10"/>
    <dataField name="总销售额" fld="3" baseField="0" baseItem="0"/>
    <dataField name="销售额百分比" fld="3" showDataAs="percentOfCol" baseField="0" baseItem="0" numFmtId="10"/>
  </dataFields>
  <formats count="2">
    <format dxfId="8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7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查询来自 nw" connectionId="1" autoFormatId="16" applyNumberFormats="0" applyBorderFormats="0" applyFontFormats="0" applyPatternFormats="0" applyAlignmentFormats="0" applyWidthHeightFormats="0">
  <queryTableRefresh nextId="6">
    <queryTableFields count="5">
      <queryTableField id="1" name="订购日期" tableColumnId="1"/>
      <queryTableField id="2" name="订单ID" tableColumnId="2"/>
      <queryTableField id="3" name="类别名称" tableColumnId="3"/>
      <queryTableField id="4" name="Expr1003" tableColumnId="4"/>
      <queryTableField id="5" name="数量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表_查询来自_nw" displayName="表_查询来自_nw" ref="A1:E406" tableType="queryTable" totalsRowShown="0" headerRowDxfId="6" dataDxfId="5">
  <autoFilter ref="A1:E406"/>
  <tableColumns count="5">
    <tableColumn id="1" uniqueName="1" name="订购日期" queryTableFieldId="1" dataDxfId="4"/>
    <tableColumn id="2" uniqueName="2" name="订单ID" queryTableFieldId="2" dataDxfId="3"/>
    <tableColumn id="3" uniqueName="3" name="类别名称" queryTableFieldId="3" dataDxfId="2"/>
    <tableColumn id="4" uniqueName="4" name="销售额" queryTableFieldId="4" dataDxfId="1"/>
    <tableColumn id="5" uniqueName="5" name="数量" queryTableFieldId="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Relationship Id="rId4" Type="http://schemas.openxmlformats.org/officeDocument/2006/relationships/ctrlProp" Target="../ctrlProps/ctrlProp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5"/>
  <sheetViews>
    <sheetView workbookViewId="0">
      <selection activeCell="H19" sqref="H19"/>
    </sheetView>
  </sheetViews>
  <sheetFormatPr defaultRowHeight="13.5"/>
  <cols>
    <col min="1" max="1" width="15.25" style="84" customWidth="1"/>
    <col min="2" max="5" width="12.125" style="84" customWidth="1"/>
    <col min="7" max="7" width="13.75" customWidth="1"/>
    <col min="8" max="8" width="11.5" customWidth="1"/>
    <col min="9" max="9" width="12.625" customWidth="1"/>
    <col min="10" max="10" width="13.625" customWidth="1"/>
    <col min="11" max="11" width="14.75" customWidth="1"/>
  </cols>
  <sheetData>
    <row r="1" spans="1:11">
      <c r="A1" s="84" t="s">
        <v>178</v>
      </c>
      <c r="B1" s="84" t="s">
        <v>179</v>
      </c>
      <c r="C1" s="84" t="s">
        <v>180</v>
      </c>
      <c r="D1" s="84" t="s">
        <v>181</v>
      </c>
      <c r="E1" s="84" t="s">
        <v>182</v>
      </c>
    </row>
    <row r="2" spans="1:11">
      <c r="A2" s="85">
        <v>35250</v>
      </c>
      <c r="B2" s="84">
        <v>10248</v>
      </c>
      <c r="C2" s="84" t="s">
        <v>183</v>
      </c>
      <c r="D2" s="84">
        <v>98</v>
      </c>
      <c r="E2" s="84">
        <v>10</v>
      </c>
    </row>
    <row r="3" spans="1:11">
      <c r="A3" s="85">
        <v>35250</v>
      </c>
      <c r="B3" s="84">
        <v>10248</v>
      </c>
      <c r="C3" s="84" t="s">
        <v>184</v>
      </c>
      <c r="D3" s="84">
        <v>174</v>
      </c>
      <c r="E3" s="84">
        <v>5</v>
      </c>
    </row>
    <row r="4" spans="1:11">
      <c r="A4" s="85">
        <v>35250</v>
      </c>
      <c r="B4" s="84">
        <v>10248</v>
      </c>
      <c r="C4" s="84" t="s">
        <v>185</v>
      </c>
      <c r="D4" s="84">
        <v>168</v>
      </c>
      <c r="E4" s="84">
        <v>12</v>
      </c>
      <c r="G4" s="99" t="s">
        <v>186</v>
      </c>
      <c r="H4" s="100" t="s">
        <v>187</v>
      </c>
      <c r="I4" s="84" t="s">
        <v>188</v>
      </c>
      <c r="J4" s="84" t="s">
        <v>189</v>
      </c>
      <c r="K4" s="84" t="s">
        <v>190</v>
      </c>
    </row>
    <row r="5" spans="1:11">
      <c r="A5" s="85">
        <v>35251</v>
      </c>
      <c r="B5" s="84">
        <v>10249</v>
      </c>
      <c r="C5" s="84" t="s">
        <v>191</v>
      </c>
      <c r="D5" s="84">
        <v>167.4</v>
      </c>
      <c r="E5" s="84">
        <v>9</v>
      </c>
      <c r="G5" s="86" t="s">
        <v>192</v>
      </c>
      <c r="H5" s="87"/>
      <c r="I5" s="88"/>
      <c r="J5" s="87"/>
      <c r="K5" s="88"/>
    </row>
    <row r="6" spans="1:11">
      <c r="A6" s="85">
        <v>35251</v>
      </c>
      <c r="B6" s="84">
        <v>10249</v>
      </c>
      <c r="C6" s="84" t="s">
        <v>191</v>
      </c>
      <c r="D6" s="84">
        <v>1696</v>
      </c>
      <c r="E6" s="84">
        <v>40</v>
      </c>
      <c r="G6" s="89" t="s">
        <v>184</v>
      </c>
      <c r="H6" s="87">
        <v>2074</v>
      </c>
      <c r="I6" s="88">
        <v>0.21647009706711198</v>
      </c>
      <c r="J6" s="87">
        <v>40812.449942120918</v>
      </c>
      <c r="K6" s="88">
        <v>0.19613452199247614</v>
      </c>
    </row>
    <row r="7" spans="1:11">
      <c r="A7" s="85">
        <v>35254</v>
      </c>
      <c r="B7" s="84">
        <v>10250</v>
      </c>
      <c r="C7" s="84" t="s">
        <v>193</v>
      </c>
      <c r="D7" s="84">
        <v>77</v>
      </c>
      <c r="E7" s="84">
        <v>10</v>
      </c>
      <c r="G7" s="89" t="s">
        <v>194</v>
      </c>
      <c r="H7" s="87">
        <v>1842</v>
      </c>
      <c r="I7" s="88">
        <v>0.19225550568834152</v>
      </c>
      <c r="J7" s="87">
        <v>47918.999934896834</v>
      </c>
      <c r="K7" s="88">
        <v>0.23028684041064126</v>
      </c>
    </row>
    <row r="8" spans="1:11">
      <c r="A8" s="85">
        <v>35254</v>
      </c>
      <c r="B8" s="84">
        <v>10250</v>
      </c>
      <c r="C8" s="84" t="s">
        <v>191</v>
      </c>
      <c r="D8" s="84">
        <v>1261.3999911546707</v>
      </c>
      <c r="E8" s="84">
        <v>35</v>
      </c>
      <c r="G8" s="89" t="s">
        <v>195</v>
      </c>
      <c r="H8" s="87">
        <v>1357</v>
      </c>
      <c r="I8" s="88">
        <v>0.14163448491806702</v>
      </c>
      <c r="J8" s="87">
        <v>29685.549981646989</v>
      </c>
      <c r="K8" s="88">
        <v>0.14266139778403897</v>
      </c>
    </row>
    <row r="9" spans="1:11">
      <c r="A9" s="85">
        <v>35254</v>
      </c>
      <c r="B9" s="84">
        <v>10250</v>
      </c>
      <c r="C9" s="84" t="s">
        <v>196</v>
      </c>
      <c r="D9" s="84">
        <v>214.19999849796295</v>
      </c>
      <c r="E9" s="84">
        <v>15</v>
      </c>
      <c r="G9" s="89" t="s">
        <v>193</v>
      </c>
      <c r="H9" s="87">
        <v>1286</v>
      </c>
      <c r="I9" s="88">
        <v>0.13422398497025362</v>
      </c>
      <c r="J9" s="87">
        <v>19391.224973338842</v>
      </c>
      <c r="K9" s="88">
        <v>9.3189422501910507E-2</v>
      </c>
    </row>
    <row r="10" spans="1:11">
      <c r="A10" s="85">
        <v>35254</v>
      </c>
      <c r="B10" s="84">
        <v>10251</v>
      </c>
      <c r="C10" s="84" t="s">
        <v>183</v>
      </c>
      <c r="D10" s="84">
        <v>95.759999924898139</v>
      </c>
      <c r="E10" s="84">
        <v>6</v>
      </c>
      <c r="G10" s="86" t="s">
        <v>197</v>
      </c>
      <c r="H10" s="87"/>
      <c r="I10" s="88"/>
      <c r="J10" s="87"/>
      <c r="K10" s="88"/>
    </row>
    <row r="11" spans="1:11">
      <c r="A11" s="85">
        <v>35254</v>
      </c>
      <c r="B11" s="84">
        <v>10251</v>
      </c>
      <c r="C11" s="84" t="s">
        <v>183</v>
      </c>
      <c r="D11" s="84">
        <v>222.29999982565641</v>
      </c>
      <c r="E11" s="84">
        <v>15</v>
      </c>
      <c r="G11" s="89" t="s">
        <v>196</v>
      </c>
      <c r="H11" s="87">
        <v>962</v>
      </c>
      <c r="I11" s="88">
        <v>0.10040705563093623</v>
      </c>
      <c r="J11" s="87">
        <v>17900.384973730517</v>
      </c>
      <c r="K11" s="88">
        <v>8.6024814861224319E-2</v>
      </c>
    </row>
    <row r="12" spans="1:11">
      <c r="A12" s="85">
        <v>35254</v>
      </c>
      <c r="B12" s="84">
        <v>10251</v>
      </c>
      <c r="C12" s="84" t="s">
        <v>196</v>
      </c>
      <c r="D12" s="84">
        <v>336</v>
      </c>
      <c r="E12" s="84">
        <v>20</v>
      </c>
      <c r="G12" s="89" t="s">
        <v>185</v>
      </c>
      <c r="H12" s="87">
        <v>962</v>
      </c>
      <c r="I12" s="88">
        <v>0.10040705563093623</v>
      </c>
      <c r="J12" s="87">
        <v>28981.659977769854</v>
      </c>
      <c r="K12" s="88">
        <v>0.13927867683389966</v>
      </c>
    </row>
    <row r="13" spans="1:11">
      <c r="A13" s="85">
        <v>35255</v>
      </c>
      <c r="B13" s="84">
        <v>10252</v>
      </c>
      <c r="C13" s="84" t="s">
        <v>195</v>
      </c>
      <c r="D13" s="84">
        <v>2462.3999980688095</v>
      </c>
      <c r="E13" s="84">
        <v>40</v>
      </c>
      <c r="G13" s="89" t="s">
        <v>183</v>
      </c>
      <c r="H13" s="87">
        <v>549</v>
      </c>
      <c r="I13" s="88">
        <v>5.7300908047176705E-2</v>
      </c>
      <c r="J13" s="87">
        <v>9507.9199974238873</v>
      </c>
      <c r="K13" s="88">
        <v>4.5692707653720639E-2</v>
      </c>
    </row>
    <row r="14" spans="1:11">
      <c r="A14" s="85">
        <v>35255</v>
      </c>
      <c r="B14" s="84">
        <v>10252</v>
      </c>
      <c r="C14" s="84" t="s">
        <v>184</v>
      </c>
      <c r="D14" s="84">
        <v>47.499999962747097</v>
      </c>
      <c r="E14" s="84">
        <v>25</v>
      </c>
      <c r="G14" s="89" t="s">
        <v>191</v>
      </c>
      <c r="H14" s="87">
        <v>549</v>
      </c>
      <c r="I14" s="88">
        <v>5.7300908047176705E-2</v>
      </c>
      <c r="J14" s="87">
        <v>13885.779973700643</v>
      </c>
      <c r="K14" s="88">
        <v>6.6731617962088485E-2</v>
      </c>
    </row>
    <row r="15" spans="1:11">
      <c r="A15" s="85">
        <v>35255</v>
      </c>
      <c r="B15" s="84">
        <v>10252</v>
      </c>
      <c r="C15" s="84" t="s">
        <v>184</v>
      </c>
      <c r="D15" s="84">
        <v>1088</v>
      </c>
      <c r="E15" s="84">
        <v>40</v>
      </c>
      <c r="G15" s="86" t="s">
        <v>198</v>
      </c>
      <c r="H15" s="90">
        <v>9581</v>
      </c>
      <c r="I15" s="91">
        <v>1</v>
      </c>
      <c r="J15" s="90">
        <v>208083.96975462849</v>
      </c>
      <c r="K15" s="91">
        <v>1</v>
      </c>
    </row>
    <row r="16" spans="1:11">
      <c r="A16" s="85">
        <v>35256</v>
      </c>
      <c r="B16" s="84">
        <v>10253</v>
      </c>
      <c r="C16" s="84" t="s">
        <v>184</v>
      </c>
      <c r="D16" s="84">
        <v>200</v>
      </c>
      <c r="E16" s="84">
        <v>20</v>
      </c>
    </row>
    <row r="17" spans="1:11">
      <c r="A17" s="85">
        <v>35256</v>
      </c>
      <c r="B17" s="84">
        <v>10253</v>
      </c>
      <c r="C17" s="84" t="s">
        <v>194</v>
      </c>
      <c r="D17" s="84">
        <v>604.79999999999995</v>
      </c>
      <c r="E17" s="84">
        <v>42</v>
      </c>
    </row>
    <row r="18" spans="1:11">
      <c r="A18" s="85">
        <v>35256</v>
      </c>
      <c r="B18" s="84">
        <v>10253</v>
      </c>
      <c r="C18" s="84" t="s">
        <v>195</v>
      </c>
      <c r="D18" s="84">
        <v>640</v>
      </c>
      <c r="E18" s="84">
        <v>40</v>
      </c>
      <c r="H18" s="92"/>
      <c r="I18" s="93"/>
      <c r="J18" s="92"/>
      <c r="K18" s="93"/>
    </row>
    <row r="19" spans="1:11">
      <c r="A19" s="85">
        <v>35257</v>
      </c>
      <c r="B19" s="84">
        <v>10254</v>
      </c>
      <c r="C19" s="84" t="s">
        <v>194</v>
      </c>
      <c r="D19" s="84">
        <v>45.899999678134918</v>
      </c>
      <c r="E19" s="84">
        <v>15</v>
      </c>
    </row>
    <row r="20" spans="1:11">
      <c r="A20" s="85">
        <v>35257</v>
      </c>
      <c r="B20" s="84">
        <v>10254</v>
      </c>
      <c r="C20" s="84" t="s">
        <v>185</v>
      </c>
      <c r="D20" s="84">
        <v>342.71999759674071</v>
      </c>
      <c r="E20" s="84">
        <v>21</v>
      </c>
    </row>
    <row r="21" spans="1:11">
      <c r="A21" s="85">
        <v>35257</v>
      </c>
      <c r="B21" s="84">
        <v>10254</v>
      </c>
      <c r="C21" s="84" t="s">
        <v>191</v>
      </c>
      <c r="D21" s="84">
        <v>168</v>
      </c>
      <c r="E21" s="84">
        <v>21</v>
      </c>
    </row>
    <row r="22" spans="1:11">
      <c r="A22" s="85">
        <v>35258</v>
      </c>
      <c r="B22" s="84">
        <v>10255</v>
      </c>
      <c r="C22" s="84" t="s">
        <v>194</v>
      </c>
      <c r="D22" s="84">
        <v>304</v>
      </c>
      <c r="E22" s="84">
        <v>20</v>
      </c>
      <c r="G22" s="86"/>
      <c r="H22" s="87"/>
      <c r="I22" s="88"/>
      <c r="J22" s="87"/>
      <c r="K22" s="88"/>
    </row>
    <row r="23" spans="1:11">
      <c r="A23" s="85">
        <v>35258</v>
      </c>
      <c r="B23" s="84">
        <v>10255</v>
      </c>
      <c r="C23" s="84" t="s">
        <v>195</v>
      </c>
      <c r="D23" s="84">
        <v>486.5</v>
      </c>
      <c r="E23" s="84">
        <v>35</v>
      </c>
      <c r="G23" s="89"/>
      <c r="H23" s="87"/>
      <c r="I23" s="88"/>
      <c r="J23" s="87"/>
      <c r="K23" s="88"/>
    </row>
    <row r="24" spans="1:11">
      <c r="A24" s="85">
        <v>35258</v>
      </c>
      <c r="B24" s="84">
        <v>10255</v>
      </c>
      <c r="C24" s="84" t="s">
        <v>193</v>
      </c>
      <c r="D24" s="84">
        <v>380</v>
      </c>
      <c r="E24" s="84">
        <v>25</v>
      </c>
      <c r="G24" s="89"/>
      <c r="H24" s="87"/>
      <c r="I24" s="88"/>
      <c r="J24" s="87"/>
      <c r="K24" s="88"/>
    </row>
    <row r="25" spans="1:11">
      <c r="A25" s="85">
        <v>35258</v>
      </c>
      <c r="B25" s="84">
        <v>10255</v>
      </c>
      <c r="C25" s="84" t="s">
        <v>184</v>
      </c>
      <c r="D25" s="84">
        <v>1320</v>
      </c>
      <c r="E25" s="84">
        <v>30</v>
      </c>
      <c r="G25" s="89"/>
      <c r="H25" s="87"/>
      <c r="I25" s="88"/>
      <c r="J25" s="87"/>
      <c r="K25" s="88"/>
    </row>
    <row r="26" spans="1:11">
      <c r="A26" s="85">
        <v>35261</v>
      </c>
      <c r="B26" s="84">
        <v>10256</v>
      </c>
      <c r="C26" s="84" t="s">
        <v>185</v>
      </c>
      <c r="D26" s="84">
        <v>393</v>
      </c>
      <c r="E26" s="84">
        <v>15</v>
      </c>
      <c r="G26" s="89"/>
      <c r="H26" s="87"/>
      <c r="I26" s="88"/>
      <c r="J26" s="87"/>
      <c r="K26" s="88"/>
    </row>
    <row r="27" spans="1:11">
      <c r="A27" s="85">
        <v>35261</v>
      </c>
      <c r="B27" s="84">
        <v>10256</v>
      </c>
      <c r="C27" s="84" t="s">
        <v>196</v>
      </c>
      <c r="D27" s="84">
        <v>124.8</v>
      </c>
      <c r="E27" s="84">
        <v>12</v>
      </c>
      <c r="G27" s="86"/>
      <c r="H27" s="87"/>
      <c r="I27" s="88"/>
      <c r="J27" s="87"/>
      <c r="K27" s="88"/>
    </row>
    <row r="28" spans="1:11">
      <c r="A28" s="85">
        <v>35262</v>
      </c>
      <c r="B28" s="84">
        <v>10257</v>
      </c>
      <c r="C28" s="84" t="s">
        <v>195</v>
      </c>
      <c r="D28" s="84">
        <v>877.5</v>
      </c>
      <c r="E28" s="84">
        <v>25</v>
      </c>
      <c r="G28" s="89"/>
      <c r="H28" s="87"/>
      <c r="I28" s="88"/>
      <c r="J28" s="87"/>
      <c r="K28" s="88"/>
    </row>
    <row r="29" spans="1:11">
      <c r="A29" s="85">
        <v>35262</v>
      </c>
      <c r="B29" s="84">
        <v>10257</v>
      </c>
      <c r="C29" s="84" t="s">
        <v>194</v>
      </c>
      <c r="D29" s="84">
        <v>86.4</v>
      </c>
      <c r="E29" s="84">
        <v>6</v>
      </c>
      <c r="G29" s="89"/>
      <c r="H29" s="87"/>
      <c r="I29" s="88"/>
      <c r="J29" s="87"/>
      <c r="K29" s="88"/>
    </row>
    <row r="30" spans="1:11">
      <c r="A30" s="85">
        <v>35262</v>
      </c>
      <c r="B30" s="84">
        <v>10257</v>
      </c>
      <c r="C30" s="84" t="s">
        <v>196</v>
      </c>
      <c r="D30" s="84">
        <v>156</v>
      </c>
      <c r="E30" s="84">
        <v>15</v>
      </c>
      <c r="G30" s="89"/>
      <c r="H30" s="87"/>
      <c r="I30" s="88"/>
      <c r="J30" s="87"/>
      <c r="K30" s="88"/>
    </row>
    <row r="31" spans="1:11">
      <c r="A31" s="85">
        <v>35263</v>
      </c>
      <c r="B31" s="84">
        <v>10258</v>
      </c>
      <c r="C31" s="84" t="s">
        <v>194</v>
      </c>
      <c r="D31" s="84">
        <v>607.9999977350235</v>
      </c>
      <c r="E31" s="84">
        <v>50</v>
      </c>
      <c r="G31" s="89"/>
      <c r="H31" s="87"/>
      <c r="I31" s="88"/>
      <c r="J31" s="87"/>
      <c r="K31" s="88"/>
    </row>
    <row r="32" spans="1:11">
      <c r="A32" s="85">
        <v>35263</v>
      </c>
      <c r="B32" s="84">
        <v>10258</v>
      </c>
      <c r="C32" s="84" t="s">
        <v>196</v>
      </c>
      <c r="D32" s="84">
        <v>883.99999670684338</v>
      </c>
      <c r="E32" s="84">
        <v>65</v>
      </c>
      <c r="G32" s="86"/>
      <c r="H32" s="87"/>
      <c r="I32" s="88"/>
      <c r="J32" s="87"/>
      <c r="K32" s="88"/>
    </row>
    <row r="33" spans="1:5">
      <c r="A33" s="85">
        <v>35263</v>
      </c>
      <c r="B33" s="84">
        <v>10258</v>
      </c>
      <c r="C33" s="84" t="s">
        <v>184</v>
      </c>
      <c r="D33" s="84">
        <v>122.87999954223632</v>
      </c>
      <c r="E33" s="84">
        <v>6</v>
      </c>
    </row>
    <row r="34" spans="1:5">
      <c r="A34" s="85">
        <v>35264</v>
      </c>
      <c r="B34" s="84">
        <v>10259</v>
      </c>
      <c r="C34" s="84" t="s">
        <v>195</v>
      </c>
      <c r="D34" s="84">
        <v>80</v>
      </c>
      <c r="E34" s="84">
        <v>10</v>
      </c>
    </row>
    <row r="35" spans="1:5">
      <c r="A35" s="85">
        <v>35264</v>
      </c>
      <c r="B35" s="84">
        <v>10259</v>
      </c>
      <c r="C35" s="84" t="s">
        <v>193</v>
      </c>
      <c r="D35" s="84">
        <v>20.8</v>
      </c>
      <c r="E35" s="84">
        <v>1</v>
      </c>
    </row>
    <row r="36" spans="1:5">
      <c r="A36" s="85">
        <v>35265</v>
      </c>
      <c r="B36" s="84">
        <v>10260</v>
      </c>
      <c r="C36" s="84" t="s">
        <v>195</v>
      </c>
      <c r="D36" s="84">
        <v>443.25</v>
      </c>
      <c r="E36" s="84">
        <v>15</v>
      </c>
    </row>
    <row r="37" spans="1:5">
      <c r="A37" s="85">
        <v>35265</v>
      </c>
      <c r="B37" s="84">
        <v>10260</v>
      </c>
      <c r="C37" s="84" t="s">
        <v>194</v>
      </c>
      <c r="D37" s="84">
        <v>189</v>
      </c>
      <c r="E37" s="84">
        <v>21</v>
      </c>
    </row>
    <row r="38" spans="1:5">
      <c r="A38" s="85">
        <v>35265</v>
      </c>
      <c r="B38" s="84">
        <v>10260</v>
      </c>
      <c r="C38" s="84" t="s">
        <v>183</v>
      </c>
      <c r="D38" s="84">
        <v>780</v>
      </c>
      <c r="E38" s="84">
        <v>50</v>
      </c>
    </row>
    <row r="39" spans="1:5">
      <c r="A39" s="85">
        <v>35265</v>
      </c>
      <c r="B39" s="84">
        <v>10260</v>
      </c>
      <c r="C39" s="84" t="s">
        <v>193</v>
      </c>
      <c r="D39" s="84">
        <v>92.4</v>
      </c>
      <c r="E39" s="84">
        <v>16</v>
      </c>
    </row>
    <row r="40" spans="1:5">
      <c r="A40" s="85">
        <v>35265</v>
      </c>
      <c r="B40" s="84">
        <v>10261</v>
      </c>
      <c r="C40" s="84" t="s">
        <v>194</v>
      </c>
      <c r="D40" s="84">
        <v>288</v>
      </c>
      <c r="E40" s="84">
        <v>20</v>
      </c>
    </row>
    <row r="41" spans="1:5">
      <c r="A41" s="85">
        <v>35265</v>
      </c>
      <c r="B41" s="84">
        <v>10261</v>
      </c>
      <c r="C41" s="84" t="s">
        <v>195</v>
      </c>
      <c r="D41" s="84">
        <v>160</v>
      </c>
      <c r="E41" s="84">
        <v>20</v>
      </c>
    </row>
    <row r="42" spans="1:5">
      <c r="A42" s="85">
        <v>35268</v>
      </c>
      <c r="B42" s="84">
        <v>10262</v>
      </c>
      <c r="C42" s="84" t="s">
        <v>196</v>
      </c>
      <c r="D42" s="84">
        <v>163.19999939203262</v>
      </c>
      <c r="E42" s="84">
        <v>12</v>
      </c>
    </row>
    <row r="43" spans="1:5">
      <c r="A43" s="85">
        <v>35268</v>
      </c>
      <c r="B43" s="84">
        <v>10262</v>
      </c>
      <c r="C43" s="84" t="s">
        <v>191</v>
      </c>
      <c r="D43" s="84">
        <v>360</v>
      </c>
      <c r="E43" s="84">
        <v>15</v>
      </c>
    </row>
    <row r="44" spans="1:5">
      <c r="A44" s="85">
        <v>35268</v>
      </c>
      <c r="B44" s="84">
        <v>10262</v>
      </c>
      <c r="C44" s="84" t="s">
        <v>183</v>
      </c>
      <c r="D44" s="84">
        <v>60.8</v>
      </c>
      <c r="E44" s="84">
        <v>2</v>
      </c>
    </row>
    <row r="45" spans="1:5">
      <c r="A45" s="85">
        <v>35269</v>
      </c>
      <c r="B45" s="84">
        <v>10263</v>
      </c>
      <c r="C45" s="84" t="s">
        <v>195</v>
      </c>
      <c r="D45" s="84">
        <v>625.5</v>
      </c>
      <c r="E45" s="84">
        <v>60</v>
      </c>
    </row>
    <row r="46" spans="1:5">
      <c r="A46" s="85">
        <v>35269</v>
      </c>
      <c r="B46" s="84">
        <v>10263</v>
      </c>
      <c r="C46" s="84" t="s">
        <v>194</v>
      </c>
      <c r="D46" s="84">
        <v>100.8</v>
      </c>
      <c r="E46" s="84">
        <v>28</v>
      </c>
    </row>
    <row r="47" spans="1:5">
      <c r="A47" s="85">
        <v>35269</v>
      </c>
      <c r="B47" s="84">
        <v>10263</v>
      </c>
      <c r="C47" s="84" t="s">
        <v>193</v>
      </c>
      <c r="D47" s="84">
        <v>931.5</v>
      </c>
      <c r="E47" s="84">
        <v>60</v>
      </c>
    </row>
    <row r="48" spans="1:5">
      <c r="A48" s="85">
        <v>35269</v>
      </c>
      <c r="B48" s="84">
        <v>10263</v>
      </c>
      <c r="C48" s="84" t="s">
        <v>191</v>
      </c>
      <c r="D48" s="84">
        <v>216</v>
      </c>
      <c r="E48" s="84">
        <v>36</v>
      </c>
    </row>
    <row r="49" spans="1:5">
      <c r="A49" s="85">
        <v>35270</v>
      </c>
      <c r="B49" s="84">
        <v>10264</v>
      </c>
      <c r="C49" s="84" t="s">
        <v>194</v>
      </c>
      <c r="D49" s="84">
        <v>532</v>
      </c>
      <c r="E49" s="84">
        <v>35</v>
      </c>
    </row>
    <row r="50" spans="1:5">
      <c r="A50" s="85">
        <v>35270</v>
      </c>
      <c r="B50" s="84">
        <v>10264</v>
      </c>
      <c r="C50" s="84" t="s">
        <v>193</v>
      </c>
      <c r="D50" s="84">
        <v>163.62499885261059</v>
      </c>
      <c r="E50" s="84">
        <v>25</v>
      </c>
    </row>
    <row r="51" spans="1:5">
      <c r="A51" s="85">
        <v>35271</v>
      </c>
      <c r="B51" s="84">
        <v>10265</v>
      </c>
      <c r="C51" s="84" t="s">
        <v>185</v>
      </c>
      <c r="D51" s="84">
        <v>936</v>
      </c>
      <c r="E51" s="84">
        <v>30</v>
      </c>
    </row>
    <row r="52" spans="1:5">
      <c r="A52" s="85">
        <v>35271</v>
      </c>
      <c r="B52" s="84">
        <v>10265</v>
      </c>
      <c r="C52" s="84" t="s">
        <v>194</v>
      </c>
      <c r="D52" s="84">
        <v>240</v>
      </c>
      <c r="E52" s="84">
        <v>20</v>
      </c>
    </row>
    <row r="53" spans="1:5">
      <c r="A53" s="85">
        <v>35272</v>
      </c>
      <c r="B53" s="84">
        <v>10266</v>
      </c>
      <c r="C53" s="84" t="s">
        <v>184</v>
      </c>
      <c r="D53" s="84">
        <v>346.55999972820285</v>
      </c>
      <c r="E53" s="84">
        <v>12</v>
      </c>
    </row>
    <row r="54" spans="1:5">
      <c r="A54" s="85">
        <v>35275</v>
      </c>
      <c r="B54" s="84">
        <v>10267</v>
      </c>
      <c r="C54" s="84" t="s">
        <v>193</v>
      </c>
      <c r="D54" s="84">
        <v>735</v>
      </c>
      <c r="E54" s="84">
        <v>50</v>
      </c>
    </row>
    <row r="55" spans="1:5">
      <c r="A55" s="85">
        <v>35275</v>
      </c>
      <c r="B55" s="84">
        <v>10267</v>
      </c>
      <c r="C55" s="84" t="s">
        <v>184</v>
      </c>
      <c r="D55" s="84">
        <v>2617.9999816417694</v>
      </c>
      <c r="E55" s="84">
        <v>70</v>
      </c>
    </row>
    <row r="56" spans="1:5">
      <c r="A56" s="85">
        <v>35275</v>
      </c>
      <c r="B56" s="84">
        <v>10267</v>
      </c>
      <c r="C56" s="84" t="s">
        <v>194</v>
      </c>
      <c r="D56" s="84">
        <v>183.59999871253967</v>
      </c>
      <c r="E56" s="84">
        <v>15</v>
      </c>
    </row>
    <row r="57" spans="1:5">
      <c r="A57" s="85">
        <v>35276</v>
      </c>
      <c r="B57" s="84">
        <v>10268</v>
      </c>
      <c r="C57" s="84" t="s">
        <v>185</v>
      </c>
      <c r="D57" s="84">
        <v>990</v>
      </c>
      <c r="E57" s="84">
        <v>10</v>
      </c>
    </row>
    <row r="58" spans="1:5">
      <c r="A58" s="85">
        <v>35276</v>
      </c>
      <c r="B58" s="84">
        <v>10268</v>
      </c>
      <c r="C58" s="84" t="s">
        <v>184</v>
      </c>
      <c r="D58" s="84">
        <v>111.2</v>
      </c>
      <c r="E58" s="84">
        <v>4</v>
      </c>
    </row>
    <row r="59" spans="1:5">
      <c r="A59" s="85">
        <v>35277</v>
      </c>
      <c r="B59" s="84">
        <v>10269</v>
      </c>
      <c r="C59" s="84" t="s">
        <v>184</v>
      </c>
      <c r="D59" s="84">
        <v>113.99999991059303</v>
      </c>
      <c r="E59" s="84">
        <v>60</v>
      </c>
    </row>
    <row r="60" spans="1:5">
      <c r="A60" s="85">
        <v>35277</v>
      </c>
      <c r="B60" s="84">
        <v>10269</v>
      </c>
      <c r="C60" s="84" t="s">
        <v>184</v>
      </c>
      <c r="D60" s="84">
        <v>528.19999958574772</v>
      </c>
      <c r="E60" s="84">
        <v>20</v>
      </c>
    </row>
    <row r="61" spans="1:5">
      <c r="A61" s="85">
        <v>35278</v>
      </c>
      <c r="B61" s="84">
        <v>10270</v>
      </c>
      <c r="C61" s="84" t="s">
        <v>193</v>
      </c>
      <c r="D61" s="84">
        <v>456</v>
      </c>
      <c r="E61" s="84">
        <v>30</v>
      </c>
    </row>
    <row r="62" spans="1:5">
      <c r="A62" s="85">
        <v>35278</v>
      </c>
      <c r="B62" s="84">
        <v>10270</v>
      </c>
      <c r="C62" s="84" t="s">
        <v>194</v>
      </c>
      <c r="D62" s="84">
        <v>920</v>
      </c>
      <c r="E62" s="84">
        <v>25</v>
      </c>
    </row>
    <row r="63" spans="1:5">
      <c r="A63" s="85">
        <v>35278</v>
      </c>
      <c r="B63" s="84">
        <v>10271</v>
      </c>
      <c r="C63" s="84" t="s">
        <v>184</v>
      </c>
      <c r="D63" s="84">
        <v>48</v>
      </c>
      <c r="E63" s="84">
        <v>24</v>
      </c>
    </row>
    <row r="64" spans="1:5">
      <c r="A64" s="85">
        <v>35279</v>
      </c>
      <c r="B64" s="84">
        <v>10272</v>
      </c>
      <c r="C64" s="84" t="s">
        <v>184</v>
      </c>
      <c r="D64" s="84">
        <v>667.2</v>
      </c>
      <c r="E64" s="84">
        <v>24</v>
      </c>
    </row>
    <row r="65" spans="1:5">
      <c r="A65" s="85">
        <v>35279</v>
      </c>
      <c r="B65" s="84">
        <v>10272</v>
      </c>
      <c r="C65" s="84" t="s">
        <v>195</v>
      </c>
      <c r="D65" s="84">
        <v>388.8</v>
      </c>
      <c r="E65" s="84">
        <v>6</v>
      </c>
    </row>
    <row r="66" spans="1:5">
      <c r="A66" s="85">
        <v>35279</v>
      </c>
      <c r="B66" s="84">
        <v>10272</v>
      </c>
      <c r="C66" s="84" t="s">
        <v>184</v>
      </c>
      <c r="D66" s="84">
        <v>400</v>
      </c>
      <c r="E66" s="84">
        <v>40</v>
      </c>
    </row>
    <row r="67" spans="1:5">
      <c r="A67" s="85">
        <v>35282</v>
      </c>
      <c r="B67" s="84">
        <v>10273</v>
      </c>
      <c r="C67" s="84" t="s">
        <v>193</v>
      </c>
      <c r="D67" s="84">
        <v>565.43999955654147</v>
      </c>
      <c r="E67" s="84">
        <v>24</v>
      </c>
    </row>
    <row r="68" spans="1:5">
      <c r="A68" s="85">
        <v>35282</v>
      </c>
      <c r="B68" s="84">
        <v>10273</v>
      </c>
      <c r="C68" s="84" t="s">
        <v>184</v>
      </c>
      <c r="D68" s="84">
        <v>142.49999988824129</v>
      </c>
      <c r="E68" s="84">
        <v>15</v>
      </c>
    </row>
    <row r="69" spans="1:5">
      <c r="A69" s="85">
        <v>35282</v>
      </c>
      <c r="B69" s="84">
        <v>10273</v>
      </c>
      <c r="C69" s="84" t="s">
        <v>184</v>
      </c>
      <c r="D69" s="84">
        <v>40</v>
      </c>
      <c r="E69" s="84">
        <v>20</v>
      </c>
    </row>
    <row r="70" spans="1:5">
      <c r="A70" s="85">
        <v>35282</v>
      </c>
      <c r="B70" s="84">
        <v>10273</v>
      </c>
      <c r="C70" s="84" t="s">
        <v>193</v>
      </c>
      <c r="D70" s="84">
        <v>837.89999934285879</v>
      </c>
      <c r="E70" s="84">
        <v>60</v>
      </c>
    </row>
    <row r="71" spans="1:5">
      <c r="A71" s="85">
        <v>35282</v>
      </c>
      <c r="B71" s="84">
        <v>10273</v>
      </c>
      <c r="C71" s="84" t="s">
        <v>194</v>
      </c>
      <c r="D71" s="84">
        <v>451.43999964594838</v>
      </c>
      <c r="E71" s="84">
        <v>33</v>
      </c>
    </row>
    <row r="72" spans="1:5">
      <c r="A72" s="85">
        <v>35283</v>
      </c>
      <c r="B72" s="84">
        <v>10274</v>
      </c>
      <c r="C72" s="84" t="s">
        <v>184</v>
      </c>
      <c r="D72" s="84">
        <v>344</v>
      </c>
      <c r="E72" s="84">
        <v>20</v>
      </c>
    </row>
    <row r="73" spans="1:5">
      <c r="A73" s="85">
        <v>35283</v>
      </c>
      <c r="B73" s="84">
        <v>10274</v>
      </c>
      <c r="C73" s="84" t="s">
        <v>184</v>
      </c>
      <c r="D73" s="84">
        <v>194.6</v>
      </c>
      <c r="E73" s="84">
        <v>7</v>
      </c>
    </row>
    <row r="74" spans="1:5">
      <c r="A74" s="85">
        <v>35284</v>
      </c>
      <c r="B74" s="84">
        <v>10275</v>
      </c>
      <c r="C74" s="84" t="s">
        <v>194</v>
      </c>
      <c r="D74" s="84">
        <v>41.039999967813493</v>
      </c>
      <c r="E74" s="84">
        <v>12</v>
      </c>
    </row>
    <row r="75" spans="1:5">
      <c r="A75" s="85">
        <v>35284</v>
      </c>
      <c r="B75" s="84">
        <v>10275</v>
      </c>
      <c r="C75" s="84" t="s">
        <v>184</v>
      </c>
      <c r="D75" s="84">
        <v>250.79999980330467</v>
      </c>
      <c r="E75" s="84">
        <v>6</v>
      </c>
    </row>
    <row r="76" spans="1:5">
      <c r="A76" s="85">
        <v>35285</v>
      </c>
      <c r="B76" s="84">
        <v>10276</v>
      </c>
      <c r="C76" s="84" t="s">
        <v>193</v>
      </c>
      <c r="D76" s="84">
        <v>372</v>
      </c>
      <c r="E76" s="84">
        <v>15</v>
      </c>
    </row>
    <row r="77" spans="1:5">
      <c r="A77" s="85">
        <v>35285</v>
      </c>
      <c r="B77" s="84">
        <v>10276</v>
      </c>
      <c r="C77" s="84" t="s">
        <v>193</v>
      </c>
      <c r="D77" s="84">
        <v>48</v>
      </c>
      <c r="E77" s="84">
        <v>10</v>
      </c>
    </row>
    <row r="78" spans="1:5">
      <c r="A78" s="85">
        <v>35286</v>
      </c>
      <c r="B78" s="84">
        <v>10277</v>
      </c>
      <c r="C78" s="84" t="s">
        <v>191</v>
      </c>
      <c r="D78" s="84">
        <v>728</v>
      </c>
      <c r="E78" s="84">
        <v>20</v>
      </c>
    </row>
    <row r="79" spans="1:5">
      <c r="A79" s="85">
        <v>35286</v>
      </c>
      <c r="B79" s="84">
        <v>10277</v>
      </c>
      <c r="C79" s="84" t="s">
        <v>195</v>
      </c>
      <c r="D79" s="84">
        <v>472.8</v>
      </c>
      <c r="E79" s="84">
        <v>12</v>
      </c>
    </row>
    <row r="80" spans="1:5">
      <c r="A80" s="85">
        <v>35289</v>
      </c>
      <c r="B80" s="84">
        <v>10278</v>
      </c>
      <c r="C80" s="84" t="s">
        <v>196</v>
      </c>
      <c r="D80" s="84">
        <v>248</v>
      </c>
      <c r="E80" s="84">
        <v>16</v>
      </c>
    </row>
    <row r="81" spans="1:5">
      <c r="A81" s="85">
        <v>35289</v>
      </c>
      <c r="B81" s="84">
        <v>10278</v>
      </c>
      <c r="C81" s="84" t="s">
        <v>184</v>
      </c>
      <c r="D81" s="84">
        <v>660</v>
      </c>
      <c r="E81" s="84">
        <v>15</v>
      </c>
    </row>
    <row r="82" spans="1:5">
      <c r="A82" s="85">
        <v>35289</v>
      </c>
      <c r="B82" s="84">
        <v>10278</v>
      </c>
      <c r="C82" s="84" t="s">
        <v>196</v>
      </c>
      <c r="D82" s="84">
        <v>280.8</v>
      </c>
      <c r="E82" s="84">
        <v>8</v>
      </c>
    </row>
    <row r="83" spans="1:5">
      <c r="A83" s="85">
        <v>35289</v>
      </c>
      <c r="B83" s="84">
        <v>10278</v>
      </c>
      <c r="C83" s="84" t="s">
        <v>193</v>
      </c>
      <c r="D83" s="84">
        <v>300</v>
      </c>
      <c r="E83" s="84">
        <v>25</v>
      </c>
    </row>
    <row r="84" spans="1:5">
      <c r="A84" s="85">
        <v>35290</v>
      </c>
      <c r="B84" s="84">
        <v>10279</v>
      </c>
      <c r="C84" s="84" t="s">
        <v>185</v>
      </c>
      <c r="D84" s="84">
        <v>351</v>
      </c>
      <c r="E84" s="84">
        <v>15</v>
      </c>
    </row>
    <row r="85" spans="1:5">
      <c r="A85" s="85">
        <v>35291</v>
      </c>
      <c r="B85" s="84">
        <v>10280</v>
      </c>
      <c r="C85" s="84" t="s">
        <v>194</v>
      </c>
      <c r="D85" s="84">
        <v>43.2</v>
      </c>
      <c r="E85" s="84">
        <v>12</v>
      </c>
    </row>
    <row r="86" spans="1:5">
      <c r="A86" s="85">
        <v>35291</v>
      </c>
      <c r="B86" s="84">
        <v>10280</v>
      </c>
      <c r="C86" s="84" t="s">
        <v>185</v>
      </c>
      <c r="D86" s="84">
        <v>384</v>
      </c>
      <c r="E86" s="84">
        <v>20</v>
      </c>
    </row>
    <row r="87" spans="1:5">
      <c r="A87" s="85">
        <v>35291</v>
      </c>
      <c r="B87" s="84">
        <v>10280</v>
      </c>
      <c r="C87" s="84" t="s">
        <v>194</v>
      </c>
      <c r="D87" s="84">
        <v>186</v>
      </c>
      <c r="E87" s="84">
        <v>30</v>
      </c>
    </row>
    <row r="88" spans="1:5">
      <c r="A88" s="85">
        <v>35291</v>
      </c>
      <c r="B88" s="84">
        <v>10281</v>
      </c>
      <c r="C88" s="84" t="s">
        <v>194</v>
      </c>
      <c r="D88" s="84">
        <v>21.6</v>
      </c>
      <c r="E88" s="84">
        <v>6</v>
      </c>
    </row>
    <row r="89" spans="1:5">
      <c r="A89" s="85">
        <v>35291</v>
      </c>
      <c r="B89" s="84">
        <v>10281</v>
      </c>
      <c r="C89" s="84" t="s">
        <v>194</v>
      </c>
      <c r="D89" s="84">
        <v>57.6</v>
      </c>
      <c r="E89" s="84">
        <v>4</v>
      </c>
    </row>
    <row r="90" spans="1:5">
      <c r="A90" s="85">
        <v>35291</v>
      </c>
      <c r="B90" s="84">
        <v>10281</v>
      </c>
      <c r="C90" s="84" t="s">
        <v>195</v>
      </c>
      <c r="D90" s="84">
        <v>7.3</v>
      </c>
      <c r="E90" s="84">
        <v>1</v>
      </c>
    </row>
    <row r="91" spans="1:5">
      <c r="A91" s="85">
        <v>35292</v>
      </c>
      <c r="B91" s="84">
        <v>10282</v>
      </c>
      <c r="C91" s="84" t="s">
        <v>183</v>
      </c>
      <c r="D91" s="84">
        <v>31.2</v>
      </c>
      <c r="E91" s="84">
        <v>2</v>
      </c>
    </row>
    <row r="92" spans="1:5">
      <c r="A92" s="85">
        <v>35292</v>
      </c>
      <c r="B92" s="84">
        <v>10282</v>
      </c>
      <c r="C92" s="84" t="s">
        <v>193</v>
      </c>
      <c r="D92" s="84">
        <v>124.2</v>
      </c>
      <c r="E92" s="84">
        <v>6</v>
      </c>
    </row>
    <row r="93" spans="1:5">
      <c r="A93" s="85">
        <v>35293</v>
      </c>
      <c r="B93" s="84">
        <v>10283</v>
      </c>
      <c r="C93" s="84" t="s">
        <v>196</v>
      </c>
      <c r="D93" s="84">
        <v>248</v>
      </c>
      <c r="E93" s="84">
        <v>20</v>
      </c>
    </row>
    <row r="94" spans="1:5">
      <c r="A94" s="85">
        <v>35293</v>
      </c>
      <c r="B94" s="84">
        <v>10283</v>
      </c>
      <c r="C94" s="84" t="s">
        <v>195</v>
      </c>
      <c r="D94" s="84">
        <v>131.4</v>
      </c>
      <c r="E94" s="84">
        <v>18</v>
      </c>
    </row>
    <row r="95" spans="1:5">
      <c r="A95" s="85">
        <v>35293</v>
      </c>
      <c r="B95" s="84">
        <v>10283</v>
      </c>
      <c r="C95" s="84" t="s">
        <v>184</v>
      </c>
      <c r="D95" s="84">
        <v>952</v>
      </c>
      <c r="E95" s="84">
        <v>35</v>
      </c>
    </row>
    <row r="96" spans="1:5">
      <c r="A96" s="85">
        <v>35293</v>
      </c>
      <c r="B96" s="84">
        <v>10283</v>
      </c>
      <c r="C96" s="84" t="s">
        <v>184</v>
      </c>
      <c r="D96" s="84">
        <v>83.4</v>
      </c>
      <c r="E96" s="84">
        <v>3</v>
      </c>
    </row>
    <row r="97" spans="1:5">
      <c r="A97" s="85">
        <v>35296</v>
      </c>
      <c r="B97" s="84">
        <v>10284</v>
      </c>
      <c r="C97" s="84" t="s">
        <v>195</v>
      </c>
      <c r="D97" s="84">
        <v>394.875</v>
      </c>
      <c r="E97" s="84">
        <v>15</v>
      </c>
    </row>
    <row r="98" spans="1:5">
      <c r="A98" s="85">
        <v>35296</v>
      </c>
      <c r="B98" s="84">
        <v>10284</v>
      </c>
      <c r="C98" s="84" t="s">
        <v>196</v>
      </c>
      <c r="D98" s="84">
        <v>325.5</v>
      </c>
      <c r="E98" s="84">
        <v>21</v>
      </c>
    </row>
    <row r="99" spans="1:5">
      <c r="A99" s="85">
        <v>35296</v>
      </c>
      <c r="B99" s="84">
        <v>10284</v>
      </c>
      <c r="C99" s="84" t="s">
        <v>184</v>
      </c>
      <c r="D99" s="84">
        <v>408</v>
      </c>
      <c r="E99" s="84">
        <v>20</v>
      </c>
    </row>
    <row r="100" spans="1:5">
      <c r="A100" s="85">
        <v>35296</v>
      </c>
      <c r="B100" s="84">
        <v>10284</v>
      </c>
      <c r="C100" s="84" t="s">
        <v>194</v>
      </c>
      <c r="D100" s="84">
        <v>42</v>
      </c>
      <c r="E100" s="84">
        <v>5</v>
      </c>
    </row>
    <row r="101" spans="1:5">
      <c r="A101" s="85">
        <v>35297</v>
      </c>
      <c r="B101" s="84">
        <v>10285</v>
      </c>
      <c r="C101" s="84" t="s">
        <v>185</v>
      </c>
      <c r="D101" s="84">
        <v>754.55999718904502</v>
      </c>
      <c r="E101" s="84">
        <v>36</v>
      </c>
    </row>
    <row r="102" spans="1:5">
      <c r="A102" s="85">
        <v>35297</v>
      </c>
      <c r="B102" s="84">
        <v>10285</v>
      </c>
      <c r="C102" s="84" t="s">
        <v>193</v>
      </c>
      <c r="D102" s="84">
        <v>470.39999824762344</v>
      </c>
      <c r="E102" s="84">
        <v>40</v>
      </c>
    </row>
    <row r="103" spans="1:5">
      <c r="A103" s="85">
        <v>35297</v>
      </c>
      <c r="B103" s="84">
        <v>10285</v>
      </c>
      <c r="C103" s="84" t="s">
        <v>194</v>
      </c>
      <c r="D103" s="84">
        <v>518.39999806880951</v>
      </c>
      <c r="E103" s="84">
        <v>45</v>
      </c>
    </row>
    <row r="104" spans="1:5">
      <c r="A104" s="85">
        <v>35298</v>
      </c>
      <c r="B104" s="84">
        <v>10286</v>
      </c>
      <c r="C104" s="84" t="s">
        <v>195</v>
      </c>
      <c r="D104" s="84">
        <v>1576</v>
      </c>
      <c r="E104" s="84">
        <v>40</v>
      </c>
    </row>
    <row r="105" spans="1:5">
      <c r="A105" s="85">
        <v>35298</v>
      </c>
      <c r="B105" s="84">
        <v>10286</v>
      </c>
      <c r="C105" s="84" t="s">
        <v>194</v>
      </c>
      <c r="D105" s="84">
        <v>1440</v>
      </c>
      <c r="E105" s="84">
        <v>100</v>
      </c>
    </row>
    <row r="106" spans="1:5">
      <c r="A106" s="85">
        <v>35299</v>
      </c>
      <c r="B106" s="84">
        <v>10287</v>
      </c>
      <c r="C106" s="84" t="s">
        <v>195</v>
      </c>
      <c r="D106" s="84">
        <v>472.59999668598175</v>
      </c>
      <c r="E106" s="84">
        <v>40</v>
      </c>
    </row>
    <row r="107" spans="1:5">
      <c r="A107" s="85">
        <v>35299</v>
      </c>
      <c r="B107" s="84">
        <v>10287</v>
      </c>
      <c r="C107" s="84" t="s">
        <v>194</v>
      </c>
      <c r="D107" s="84">
        <v>224</v>
      </c>
      <c r="E107" s="84">
        <v>20</v>
      </c>
    </row>
    <row r="108" spans="1:5">
      <c r="A108" s="85">
        <v>35299</v>
      </c>
      <c r="B108" s="84">
        <v>10287</v>
      </c>
      <c r="C108" s="84" t="s">
        <v>193</v>
      </c>
      <c r="D108" s="84">
        <v>122.39999914169312</v>
      </c>
      <c r="E108" s="84">
        <v>15</v>
      </c>
    </row>
    <row r="109" spans="1:5">
      <c r="A109" s="85">
        <v>35300</v>
      </c>
      <c r="B109" s="84">
        <v>10288</v>
      </c>
      <c r="C109" s="84" t="s">
        <v>185</v>
      </c>
      <c r="D109" s="84">
        <v>53.099999912083149</v>
      </c>
      <c r="E109" s="84">
        <v>10</v>
      </c>
    </row>
    <row r="110" spans="1:5">
      <c r="A110" s="85">
        <v>35300</v>
      </c>
      <c r="B110" s="84">
        <v>10288</v>
      </c>
      <c r="C110" s="84" t="s">
        <v>195</v>
      </c>
      <c r="D110" s="84">
        <v>26.999999955296516</v>
      </c>
      <c r="E110" s="84">
        <v>3</v>
      </c>
    </row>
    <row r="111" spans="1:5">
      <c r="A111" s="85">
        <v>35303</v>
      </c>
      <c r="B111" s="84">
        <v>10289</v>
      </c>
      <c r="C111" s="84" t="s">
        <v>196</v>
      </c>
      <c r="D111" s="84">
        <v>240</v>
      </c>
      <c r="E111" s="84">
        <v>30</v>
      </c>
    </row>
    <row r="112" spans="1:5">
      <c r="A112" s="85">
        <v>35303</v>
      </c>
      <c r="B112" s="84">
        <v>10289</v>
      </c>
      <c r="C112" s="84" t="s">
        <v>183</v>
      </c>
      <c r="D112" s="84">
        <v>239.4</v>
      </c>
      <c r="E112" s="84">
        <v>9</v>
      </c>
    </row>
    <row r="113" spans="1:5">
      <c r="A113" s="85">
        <v>35304</v>
      </c>
      <c r="B113" s="84">
        <v>10290</v>
      </c>
      <c r="C113" s="84" t="s">
        <v>185</v>
      </c>
      <c r="D113" s="84">
        <v>1485</v>
      </c>
      <c r="E113" s="84">
        <v>15</v>
      </c>
    </row>
    <row r="114" spans="1:5">
      <c r="A114" s="85">
        <v>35304</v>
      </c>
      <c r="B114" s="84">
        <v>10290</v>
      </c>
      <c r="C114" s="84" t="s">
        <v>195</v>
      </c>
      <c r="D114" s="84">
        <v>240</v>
      </c>
      <c r="E114" s="84">
        <v>15</v>
      </c>
    </row>
    <row r="115" spans="1:5">
      <c r="A115" s="85">
        <v>35304</v>
      </c>
      <c r="B115" s="84">
        <v>10290</v>
      </c>
      <c r="C115" s="84" t="s">
        <v>196</v>
      </c>
      <c r="D115" s="84">
        <v>340</v>
      </c>
      <c r="E115" s="84">
        <v>20</v>
      </c>
    </row>
    <row r="116" spans="1:5">
      <c r="A116" s="85">
        <v>35304</v>
      </c>
      <c r="B116" s="84">
        <v>10290</v>
      </c>
      <c r="C116" s="84" t="s">
        <v>196</v>
      </c>
      <c r="D116" s="84">
        <v>104</v>
      </c>
      <c r="E116" s="84">
        <v>10</v>
      </c>
    </row>
    <row r="117" spans="1:5">
      <c r="A117" s="85">
        <v>35304</v>
      </c>
      <c r="B117" s="84">
        <v>10291</v>
      </c>
      <c r="C117" s="84" t="s">
        <v>193</v>
      </c>
      <c r="D117" s="84">
        <v>86.399999856948853</v>
      </c>
      <c r="E117" s="84">
        <v>20</v>
      </c>
    </row>
    <row r="118" spans="1:5">
      <c r="A118" s="85">
        <v>35304</v>
      </c>
      <c r="B118" s="84">
        <v>10291</v>
      </c>
      <c r="C118" s="84" t="s">
        <v>196</v>
      </c>
      <c r="D118" s="84">
        <v>334.7999994456768</v>
      </c>
      <c r="E118" s="84">
        <v>24</v>
      </c>
    </row>
    <row r="119" spans="1:5">
      <c r="A119" s="85">
        <v>35304</v>
      </c>
      <c r="B119" s="84">
        <v>10291</v>
      </c>
      <c r="C119" s="84" t="s">
        <v>191</v>
      </c>
      <c r="D119" s="84">
        <v>76.319999873638153</v>
      </c>
      <c r="E119" s="84">
        <v>2</v>
      </c>
    </row>
    <row r="120" spans="1:5">
      <c r="A120" s="85">
        <v>35305</v>
      </c>
      <c r="B120" s="84">
        <v>10292</v>
      </c>
      <c r="C120" s="84" t="s">
        <v>195</v>
      </c>
      <c r="D120" s="84">
        <v>1296</v>
      </c>
      <c r="E120" s="84">
        <v>20</v>
      </c>
    </row>
    <row r="121" spans="1:5">
      <c r="A121" s="85">
        <v>35306</v>
      </c>
      <c r="B121" s="84">
        <v>10293</v>
      </c>
      <c r="C121" s="84" t="s">
        <v>193</v>
      </c>
      <c r="D121" s="84">
        <v>600</v>
      </c>
      <c r="E121" s="84">
        <v>12</v>
      </c>
    </row>
    <row r="122" spans="1:5">
      <c r="A122" s="85">
        <v>35306</v>
      </c>
      <c r="B122" s="84">
        <v>10293</v>
      </c>
      <c r="C122" s="84" t="s">
        <v>194</v>
      </c>
      <c r="D122" s="84">
        <v>36</v>
      </c>
      <c r="E122" s="84">
        <v>10</v>
      </c>
    </row>
    <row r="123" spans="1:5">
      <c r="A123" s="85">
        <v>35306</v>
      </c>
      <c r="B123" s="84">
        <v>10293</v>
      </c>
      <c r="C123" s="84" t="s">
        <v>196</v>
      </c>
      <c r="D123" s="84">
        <v>175.5</v>
      </c>
      <c r="E123" s="84">
        <v>5</v>
      </c>
    </row>
    <row r="124" spans="1:5">
      <c r="A124" s="85">
        <v>35306</v>
      </c>
      <c r="B124" s="84">
        <v>10293</v>
      </c>
      <c r="C124" s="84" t="s">
        <v>194</v>
      </c>
      <c r="D124" s="84">
        <v>37.200000000000003</v>
      </c>
      <c r="E124" s="84">
        <v>6</v>
      </c>
    </row>
    <row r="125" spans="1:5">
      <c r="A125" s="85">
        <v>35307</v>
      </c>
      <c r="B125" s="84">
        <v>10294</v>
      </c>
      <c r="C125" s="84" t="s">
        <v>194</v>
      </c>
      <c r="D125" s="84">
        <v>552</v>
      </c>
      <c r="E125" s="84">
        <v>15</v>
      </c>
    </row>
    <row r="126" spans="1:5">
      <c r="A126" s="85">
        <v>35307</v>
      </c>
      <c r="B126" s="84">
        <v>10294</v>
      </c>
      <c r="C126" s="84" t="s">
        <v>184</v>
      </c>
      <c r="D126" s="84">
        <v>571.20000000000005</v>
      </c>
      <c r="E126" s="84">
        <v>21</v>
      </c>
    </row>
    <row r="127" spans="1:5">
      <c r="A127" s="85">
        <v>35307</v>
      </c>
      <c r="B127" s="84">
        <v>10294</v>
      </c>
      <c r="C127" s="84" t="s">
        <v>185</v>
      </c>
      <c r="D127" s="84">
        <v>468</v>
      </c>
      <c r="E127" s="84">
        <v>15</v>
      </c>
    </row>
    <row r="128" spans="1:5">
      <c r="A128" s="85">
        <v>35307</v>
      </c>
      <c r="B128" s="84">
        <v>10294</v>
      </c>
      <c r="C128" s="84" t="s">
        <v>194</v>
      </c>
      <c r="D128" s="84">
        <v>259.2</v>
      </c>
      <c r="E128" s="84">
        <v>18</v>
      </c>
    </row>
    <row r="129" spans="1:5">
      <c r="A129" s="85">
        <v>35307</v>
      </c>
      <c r="B129" s="84">
        <v>10294</v>
      </c>
      <c r="C129" s="84" t="s">
        <v>194</v>
      </c>
      <c r="D129" s="84">
        <v>37.200000000000003</v>
      </c>
      <c r="E129" s="84">
        <v>6</v>
      </c>
    </row>
    <row r="130" spans="1:5">
      <c r="A130" s="85">
        <v>35310</v>
      </c>
      <c r="B130" s="84">
        <v>10295</v>
      </c>
      <c r="C130" s="84" t="s">
        <v>183</v>
      </c>
      <c r="D130" s="84">
        <v>121.6</v>
      </c>
      <c r="E130" s="84">
        <v>4</v>
      </c>
    </row>
    <row r="131" spans="1:5">
      <c r="A131" s="85">
        <v>35311</v>
      </c>
      <c r="B131" s="84">
        <v>10296</v>
      </c>
      <c r="C131" s="84" t="s">
        <v>184</v>
      </c>
      <c r="D131" s="84">
        <v>201.6</v>
      </c>
      <c r="E131" s="84">
        <v>12</v>
      </c>
    </row>
    <row r="132" spans="1:5">
      <c r="A132" s="85">
        <v>35311</v>
      </c>
      <c r="B132" s="84">
        <v>10296</v>
      </c>
      <c r="C132" s="84" t="s">
        <v>195</v>
      </c>
      <c r="D132" s="84">
        <v>417</v>
      </c>
      <c r="E132" s="84">
        <v>30</v>
      </c>
    </row>
    <row r="133" spans="1:5">
      <c r="A133" s="85">
        <v>35311</v>
      </c>
      <c r="B133" s="84">
        <v>10296</v>
      </c>
      <c r="C133" s="84" t="s">
        <v>184</v>
      </c>
      <c r="D133" s="84">
        <v>432</v>
      </c>
      <c r="E133" s="84">
        <v>15</v>
      </c>
    </row>
    <row r="134" spans="1:5">
      <c r="A134" s="85">
        <v>35312</v>
      </c>
      <c r="B134" s="84">
        <v>10297</v>
      </c>
      <c r="C134" s="84" t="s">
        <v>194</v>
      </c>
      <c r="D134" s="84">
        <v>864</v>
      </c>
      <c r="E134" s="84">
        <v>60</v>
      </c>
    </row>
    <row r="135" spans="1:5">
      <c r="A135" s="85">
        <v>35312</v>
      </c>
      <c r="B135" s="84">
        <v>10297</v>
      </c>
      <c r="C135" s="84" t="s">
        <v>184</v>
      </c>
      <c r="D135" s="84">
        <v>556</v>
      </c>
      <c r="E135" s="84">
        <v>20</v>
      </c>
    </row>
    <row r="136" spans="1:5">
      <c r="A136" s="85">
        <v>35313</v>
      </c>
      <c r="B136" s="84">
        <v>10298</v>
      </c>
      <c r="C136" s="84" t="s">
        <v>195</v>
      </c>
      <c r="D136" s="84">
        <v>591</v>
      </c>
      <c r="E136" s="84">
        <v>15</v>
      </c>
    </row>
    <row r="137" spans="1:5">
      <c r="A137" s="85">
        <v>35313</v>
      </c>
      <c r="B137" s="84">
        <v>10298</v>
      </c>
      <c r="C137" s="84" t="s">
        <v>194</v>
      </c>
      <c r="D137" s="84">
        <v>608</v>
      </c>
      <c r="E137" s="84">
        <v>40</v>
      </c>
    </row>
    <row r="138" spans="1:5">
      <c r="A138" s="85">
        <v>35313</v>
      </c>
      <c r="B138" s="84">
        <v>10298</v>
      </c>
      <c r="C138" s="84" t="s">
        <v>193</v>
      </c>
      <c r="D138" s="84">
        <v>456</v>
      </c>
      <c r="E138" s="84">
        <v>40</v>
      </c>
    </row>
    <row r="139" spans="1:5">
      <c r="A139" s="85">
        <v>35313</v>
      </c>
      <c r="B139" s="84">
        <v>10298</v>
      </c>
      <c r="C139" s="84" t="s">
        <v>184</v>
      </c>
      <c r="D139" s="84">
        <v>990</v>
      </c>
      <c r="E139" s="84">
        <v>30</v>
      </c>
    </row>
    <row r="140" spans="1:5">
      <c r="A140" s="85">
        <v>35314</v>
      </c>
      <c r="B140" s="84">
        <v>10299</v>
      </c>
      <c r="C140" s="84" t="s">
        <v>195</v>
      </c>
      <c r="D140" s="84">
        <v>109.5</v>
      </c>
      <c r="E140" s="84">
        <v>15</v>
      </c>
    </row>
    <row r="141" spans="1:5">
      <c r="A141" s="85">
        <v>35314</v>
      </c>
      <c r="B141" s="84">
        <v>10299</v>
      </c>
      <c r="C141" s="84" t="s">
        <v>194</v>
      </c>
      <c r="D141" s="84">
        <v>240</v>
      </c>
      <c r="E141" s="84">
        <v>20</v>
      </c>
    </row>
    <row r="142" spans="1:5">
      <c r="A142" s="85">
        <v>35317</v>
      </c>
      <c r="B142" s="84">
        <v>10300</v>
      </c>
      <c r="C142" s="84" t="s">
        <v>196</v>
      </c>
      <c r="D142" s="84">
        <v>408</v>
      </c>
      <c r="E142" s="84">
        <v>30</v>
      </c>
    </row>
    <row r="143" spans="1:5">
      <c r="A143" s="85">
        <v>35317</v>
      </c>
      <c r="B143" s="84">
        <v>10300</v>
      </c>
      <c r="C143" s="84" t="s">
        <v>195</v>
      </c>
      <c r="D143" s="84">
        <v>200</v>
      </c>
      <c r="E143" s="84">
        <v>20</v>
      </c>
    </row>
    <row r="144" spans="1:5">
      <c r="A144" s="85">
        <v>35317</v>
      </c>
      <c r="B144" s="84">
        <v>10301</v>
      </c>
      <c r="C144" s="84" t="s">
        <v>193</v>
      </c>
      <c r="D144" s="84">
        <v>147</v>
      </c>
      <c r="E144" s="84">
        <v>10</v>
      </c>
    </row>
    <row r="145" spans="1:5">
      <c r="A145" s="85">
        <v>35317</v>
      </c>
      <c r="B145" s="84">
        <v>10301</v>
      </c>
      <c r="C145" s="84" t="s">
        <v>183</v>
      </c>
      <c r="D145" s="84">
        <v>608</v>
      </c>
      <c r="E145" s="84">
        <v>20</v>
      </c>
    </row>
    <row r="146" spans="1:5">
      <c r="A146" s="85">
        <v>35318</v>
      </c>
      <c r="B146" s="84">
        <v>10302</v>
      </c>
      <c r="C146" s="84" t="s">
        <v>185</v>
      </c>
      <c r="D146" s="84">
        <v>1248</v>
      </c>
      <c r="E146" s="84">
        <v>40</v>
      </c>
    </row>
    <row r="147" spans="1:5">
      <c r="A147" s="85">
        <v>35318</v>
      </c>
      <c r="B147" s="84">
        <v>10302</v>
      </c>
      <c r="C147" s="84" t="s">
        <v>191</v>
      </c>
      <c r="D147" s="84">
        <v>1019.2</v>
      </c>
      <c r="E147" s="84">
        <v>28</v>
      </c>
    </row>
    <row r="148" spans="1:5">
      <c r="A148" s="85">
        <v>35318</v>
      </c>
      <c r="B148" s="84">
        <v>10302</v>
      </c>
      <c r="C148" s="84" t="s">
        <v>194</v>
      </c>
      <c r="D148" s="84">
        <v>441.6</v>
      </c>
      <c r="E148" s="84">
        <v>12</v>
      </c>
    </row>
    <row r="149" spans="1:5">
      <c r="A149" s="85">
        <v>35319</v>
      </c>
      <c r="B149" s="84">
        <v>10303</v>
      </c>
      <c r="C149" s="84" t="s">
        <v>193</v>
      </c>
      <c r="D149" s="84">
        <v>529.19999912381172</v>
      </c>
      <c r="E149" s="84">
        <v>40</v>
      </c>
    </row>
    <row r="150" spans="1:5">
      <c r="A150" s="85">
        <v>35319</v>
      </c>
      <c r="B150" s="84">
        <v>10303</v>
      </c>
      <c r="C150" s="84" t="s">
        <v>196</v>
      </c>
      <c r="D150" s="84">
        <v>453.59999924898148</v>
      </c>
      <c r="E150" s="84">
        <v>30</v>
      </c>
    </row>
    <row r="151" spans="1:5">
      <c r="A151" s="85">
        <v>35319</v>
      </c>
      <c r="B151" s="84">
        <v>10303</v>
      </c>
      <c r="C151" s="84" t="s">
        <v>195</v>
      </c>
      <c r="D151" s="84">
        <v>134.99999977648258</v>
      </c>
      <c r="E151" s="84">
        <v>15</v>
      </c>
    </row>
    <row r="152" spans="1:5">
      <c r="A152" s="85">
        <v>35320</v>
      </c>
      <c r="B152" s="84">
        <v>10304</v>
      </c>
      <c r="C152" s="84" t="s">
        <v>195</v>
      </c>
      <c r="D152" s="84">
        <v>480</v>
      </c>
      <c r="E152" s="84">
        <v>30</v>
      </c>
    </row>
    <row r="153" spans="1:5">
      <c r="A153" s="85">
        <v>35320</v>
      </c>
      <c r="B153" s="84">
        <v>10304</v>
      </c>
      <c r="C153" s="84" t="s">
        <v>184</v>
      </c>
      <c r="D153" s="84">
        <v>34.4</v>
      </c>
      <c r="E153" s="84">
        <v>2</v>
      </c>
    </row>
    <row r="154" spans="1:5">
      <c r="A154" s="85">
        <v>35320</v>
      </c>
      <c r="B154" s="84">
        <v>10304</v>
      </c>
      <c r="C154" s="84" t="s">
        <v>184</v>
      </c>
      <c r="D154" s="84">
        <v>440</v>
      </c>
      <c r="E154" s="84">
        <v>10</v>
      </c>
    </row>
    <row r="155" spans="1:5">
      <c r="A155" s="85">
        <v>35321</v>
      </c>
      <c r="B155" s="84">
        <v>10305</v>
      </c>
      <c r="C155" s="84" t="s">
        <v>193</v>
      </c>
      <c r="D155" s="84">
        <v>1124.9999981373549</v>
      </c>
      <c r="E155" s="84">
        <v>25</v>
      </c>
    </row>
    <row r="156" spans="1:5">
      <c r="A156" s="85">
        <v>35321</v>
      </c>
      <c r="B156" s="84">
        <v>10305</v>
      </c>
      <c r="C156" s="84" t="s">
        <v>185</v>
      </c>
      <c r="D156" s="84">
        <v>2227.4999963119626</v>
      </c>
      <c r="E156" s="84">
        <v>25</v>
      </c>
    </row>
    <row r="157" spans="1:5">
      <c r="A157" s="85">
        <v>35321</v>
      </c>
      <c r="B157" s="84">
        <v>10305</v>
      </c>
      <c r="C157" s="84" t="s">
        <v>194</v>
      </c>
      <c r="D157" s="84">
        <v>388.79999935626984</v>
      </c>
      <c r="E157" s="84">
        <v>30</v>
      </c>
    </row>
    <row r="158" spans="1:5">
      <c r="A158" s="85">
        <v>35324</v>
      </c>
      <c r="B158" s="84">
        <v>10306</v>
      </c>
      <c r="C158" s="84" t="s">
        <v>193</v>
      </c>
      <c r="D158" s="84">
        <v>207</v>
      </c>
      <c r="E158" s="84">
        <v>10</v>
      </c>
    </row>
    <row r="159" spans="1:5">
      <c r="A159" s="85">
        <v>35324</v>
      </c>
      <c r="B159" s="84">
        <v>10306</v>
      </c>
      <c r="C159" s="84" t="s">
        <v>185</v>
      </c>
      <c r="D159" s="84">
        <v>262</v>
      </c>
      <c r="E159" s="84">
        <v>10</v>
      </c>
    </row>
    <row r="160" spans="1:5">
      <c r="A160" s="85">
        <v>35324</v>
      </c>
      <c r="B160" s="84">
        <v>10306</v>
      </c>
      <c r="C160" s="84" t="s">
        <v>185</v>
      </c>
      <c r="D160" s="84">
        <v>29.5</v>
      </c>
      <c r="E160" s="84">
        <v>5</v>
      </c>
    </row>
    <row r="161" spans="1:5">
      <c r="A161" s="85">
        <v>35325</v>
      </c>
      <c r="B161" s="84">
        <v>10307</v>
      </c>
      <c r="C161" s="84" t="s">
        <v>195</v>
      </c>
      <c r="D161" s="84">
        <v>394</v>
      </c>
      <c r="E161" s="84">
        <v>10</v>
      </c>
    </row>
    <row r="162" spans="1:5">
      <c r="A162" s="85">
        <v>35325</v>
      </c>
      <c r="B162" s="84">
        <v>10307</v>
      </c>
      <c r="C162" s="84" t="s">
        <v>195</v>
      </c>
      <c r="D162" s="84">
        <v>30</v>
      </c>
      <c r="E162" s="84">
        <v>3</v>
      </c>
    </row>
    <row r="163" spans="1:5">
      <c r="A163" s="85">
        <v>35326</v>
      </c>
      <c r="B163" s="84">
        <v>10308</v>
      </c>
      <c r="C163" s="84" t="s">
        <v>194</v>
      </c>
      <c r="D163" s="84">
        <v>60</v>
      </c>
      <c r="E163" s="84">
        <v>5</v>
      </c>
    </row>
    <row r="164" spans="1:5">
      <c r="A164" s="85">
        <v>35326</v>
      </c>
      <c r="B164" s="84">
        <v>10308</v>
      </c>
      <c r="C164" s="84" t="s">
        <v>184</v>
      </c>
      <c r="D164" s="84">
        <v>28.8</v>
      </c>
      <c r="E164" s="84">
        <v>1</v>
      </c>
    </row>
    <row r="165" spans="1:5">
      <c r="A165" s="85">
        <v>35327</v>
      </c>
      <c r="B165" s="84">
        <v>10309</v>
      </c>
      <c r="C165" s="84" t="s">
        <v>184</v>
      </c>
      <c r="D165" s="84">
        <v>51.6</v>
      </c>
      <c r="E165" s="84">
        <v>3</v>
      </c>
    </row>
    <row r="166" spans="1:5">
      <c r="A166" s="85">
        <v>35327</v>
      </c>
      <c r="B166" s="84">
        <v>10309</v>
      </c>
      <c r="C166" s="84" t="s">
        <v>194</v>
      </c>
      <c r="D166" s="84">
        <v>736</v>
      </c>
      <c r="E166" s="84">
        <v>20</v>
      </c>
    </row>
    <row r="167" spans="1:5">
      <c r="A167" s="85">
        <v>35327</v>
      </c>
      <c r="B167" s="84">
        <v>10309</v>
      </c>
      <c r="C167" s="84" t="s">
        <v>183</v>
      </c>
      <c r="D167" s="84">
        <v>22.4</v>
      </c>
      <c r="E167" s="84">
        <v>2</v>
      </c>
    </row>
    <row r="168" spans="1:5">
      <c r="A168" s="85">
        <v>35327</v>
      </c>
      <c r="B168" s="84">
        <v>10309</v>
      </c>
      <c r="C168" s="84" t="s">
        <v>196</v>
      </c>
      <c r="D168" s="84">
        <v>352</v>
      </c>
      <c r="E168" s="84">
        <v>20</v>
      </c>
    </row>
    <row r="169" spans="1:5">
      <c r="A169" s="85">
        <v>35327</v>
      </c>
      <c r="B169" s="84">
        <v>10309</v>
      </c>
      <c r="C169" s="84" t="s">
        <v>196</v>
      </c>
      <c r="D169" s="84">
        <v>600</v>
      </c>
      <c r="E169" s="84">
        <v>30</v>
      </c>
    </row>
    <row r="170" spans="1:5">
      <c r="A170" s="85">
        <v>35328</v>
      </c>
      <c r="B170" s="84">
        <v>10310</v>
      </c>
      <c r="C170" s="84" t="s">
        <v>195</v>
      </c>
      <c r="D170" s="84">
        <v>139</v>
      </c>
      <c r="E170" s="84">
        <v>10</v>
      </c>
    </row>
    <row r="171" spans="1:5">
      <c r="A171" s="85">
        <v>35328</v>
      </c>
      <c r="B171" s="84">
        <v>10310</v>
      </c>
      <c r="C171" s="84" t="s">
        <v>195</v>
      </c>
      <c r="D171" s="84">
        <v>197</v>
      </c>
      <c r="E171" s="84">
        <v>5</v>
      </c>
    </row>
    <row r="172" spans="1:5">
      <c r="A172" s="85">
        <v>35328</v>
      </c>
      <c r="B172" s="84">
        <v>10311</v>
      </c>
      <c r="C172" s="84" t="s">
        <v>183</v>
      </c>
      <c r="D172" s="84">
        <v>67.2</v>
      </c>
      <c r="E172" s="84">
        <v>6</v>
      </c>
    </row>
    <row r="173" spans="1:5">
      <c r="A173" s="85">
        <v>35328</v>
      </c>
      <c r="B173" s="84">
        <v>10311</v>
      </c>
      <c r="C173" s="84" t="s">
        <v>184</v>
      </c>
      <c r="D173" s="84">
        <v>201.6</v>
      </c>
      <c r="E173" s="84">
        <v>7</v>
      </c>
    </row>
    <row r="174" spans="1:5">
      <c r="A174" s="85">
        <v>35331</v>
      </c>
      <c r="B174" s="84">
        <v>10312</v>
      </c>
      <c r="C174" s="84" t="s">
        <v>194</v>
      </c>
      <c r="D174" s="84">
        <v>62</v>
      </c>
      <c r="E174" s="84">
        <v>10</v>
      </c>
    </row>
    <row r="175" spans="1:5">
      <c r="A175" s="85">
        <v>35331</v>
      </c>
      <c r="B175" s="84">
        <v>10312</v>
      </c>
      <c r="C175" s="84" t="s">
        <v>191</v>
      </c>
      <c r="D175" s="84">
        <v>145.6</v>
      </c>
      <c r="E175" s="84">
        <v>4</v>
      </c>
    </row>
    <row r="176" spans="1:5">
      <c r="A176" s="85">
        <v>35331</v>
      </c>
      <c r="B176" s="84">
        <v>10312</v>
      </c>
      <c r="C176" s="84" t="s">
        <v>194</v>
      </c>
      <c r="D176" s="84">
        <v>883.2</v>
      </c>
      <c r="E176" s="84">
        <v>24</v>
      </c>
    </row>
    <row r="177" spans="1:5">
      <c r="A177" s="85">
        <v>35331</v>
      </c>
      <c r="B177" s="84">
        <v>10312</v>
      </c>
      <c r="C177" s="84" t="s">
        <v>185</v>
      </c>
      <c r="D177" s="84">
        <v>524</v>
      </c>
      <c r="E177" s="84">
        <v>20</v>
      </c>
    </row>
    <row r="178" spans="1:5">
      <c r="A178" s="85">
        <v>35332</v>
      </c>
      <c r="B178" s="84">
        <v>10313</v>
      </c>
      <c r="C178" s="84" t="s">
        <v>193</v>
      </c>
      <c r="D178" s="84">
        <v>182.4</v>
      </c>
      <c r="E178" s="84">
        <v>12</v>
      </c>
    </row>
    <row r="179" spans="1:5">
      <c r="A179" s="85">
        <v>35333</v>
      </c>
      <c r="B179" s="84">
        <v>10314</v>
      </c>
      <c r="C179" s="84" t="s">
        <v>184</v>
      </c>
      <c r="D179" s="84">
        <v>921.59999847412109</v>
      </c>
      <c r="E179" s="84">
        <v>40</v>
      </c>
    </row>
    <row r="180" spans="1:5">
      <c r="A180" s="85">
        <v>35333</v>
      </c>
      <c r="B180" s="84">
        <v>10314</v>
      </c>
      <c r="C180" s="84" t="s">
        <v>193</v>
      </c>
      <c r="D180" s="84">
        <v>286.19999952614307</v>
      </c>
      <c r="E180" s="84">
        <v>30</v>
      </c>
    </row>
    <row r="181" spans="1:5">
      <c r="A181" s="85">
        <v>35333</v>
      </c>
      <c r="B181" s="84">
        <v>10314</v>
      </c>
      <c r="C181" s="84" t="s">
        <v>195</v>
      </c>
      <c r="D181" s="84">
        <v>886.49999853223562</v>
      </c>
      <c r="E181" s="84">
        <v>25</v>
      </c>
    </row>
    <row r="182" spans="1:5">
      <c r="A182" s="85">
        <v>35334</v>
      </c>
      <c r="B182" s="84">
        <v>10315</v>
      </c>
      <c r="C182" s="84" t="s">
        <v>194</v>
      </c>
      <c r="D182" s="84">
        <v>156.80000000000001</v>
      </c>
      <c r="E182" s="84">
        <v>14</v>
      </c>
    </row>
    <row r="183" spans="1:5">
      <c r="A183" s="85">
        <v>35334</v>
      </c>
      <c r="B183" s="84">
        <v>10315</v>
      </c>
      <c r="C183" s="84" t="s">
        <v>194</v>
      </c>
      <c r="D183" s="84">
        <v>360</v>
      </c>
      <c r="E183" s="84">
        <v>30</v>
      </c>
    </row>
    <row r="184" spans="1:5">
      <c r="A184" s="85">
        <v>35335</v>
      </c>
      <c r="B184" s="84">
        <v>10316</v>
      </c>
      <c r="C184" s="84" t="s">
        <v>193</v>
      </c>
      <c r="D184" s="84">
        <v>77</v>
      </c>
      <c r="E184" s="84">
        <v>10</v>
      </c>
    </row>
    <row r="185" spans="1:5">
      <c r="A185" s="85">
        <v>35335</v>
      </c>
      <c r="B185" s="84">
        <v>10316</v>
      </c>
      <c r="C185" s="84" t="s">
        <v>195</v>
      </c>
      <c r="D185" s="84">
        <v>2758</v>
      </c>
      <c r="E185" s="84">
        <v>70</v>
      </c>
    </row>
    <row r="186" spans="1:5">
      <c r="A186" s="85">
        <v>35338</v>
      </c>
      <c r="B186" s="84">
        <v>10317</v>
      </c>
      <c r="C186" s="84" t="s">
        <v>194</v>
      </c>
      <c r="D186" s="84">
        <v>288</v>
      </c>
      <c r="E186" s="84">
        <v>20</v>
      </c>
    </row>
    <row r="187" spans="1:5">
      <c r="A187" s="85">
        <v>35339</v>
      </c>
      <c r="B187" s="84">
        <v>10318</v>
      </c>
      <c r="C187" s="84" t="s">
        <v>193</v>
      </c>
      <c r="D187" s="84">
        <v>154</v>
      </c>
      <c r="E187" s="84">
        <v>20</v>
      </c>
    </row>
    <row r="188" spans="1:5">
      <c r="A188" s="85">
        <v>35339</v>
      </c>
      <c r="B188" s="84">
        <v>10318</v>
      </c>
      <c r="C188" s="84" t="s">
        <v>194</v>
      </c>
      <c r="D188" s="84">
        <v>86.4</v>
      </c>
      <c r="E188" s="84">
        <v>6</v>
      </c>
    </row>
    <row r="189" spans="1:5">
      <c r="A189" s="85">
        <v>35340</v>
      </c>
      <c r="B189" s="84">
        <v>10319</v>
      </c>
      <c r="C189" s="84" t="s">
        <v>191</v>
      </c>
      <c r="D189" s="84">
        <v>509.6</v>
      </c>
      <c r="E189" s="84">
        <v>14</v>
      </c>
    </row>
    <row r="190" spans="1:5">
      <c r="A190" s="85">
        <v>35340</v>
      </c>
      <c r="B190" s="84">
        <v>10319</v>
      </c>
      <c r="C190" s="84" t="s">
        <v>194</v>
      </c>
      <c r="D190" s="84">
        <v>432</v>
      </c>
      <c r="E190" s="84">
        <v>30</v>
      </c>
    </row>
    <row r="191" spans="1:5">
      <c r="A191" s="85">
        <v>35340</v>
      </c>
      <c r="B191" s="84">
        <v>10319</v>
      </c>
      <c r="C191" s="84" t="s">
        <v>185</v>
      </c>
      <c r="D191" s="84">
        <v>249.6</v>
      </c>
      <c r="E191" s="84">
        <v>8</v>
      </c>
    </row>
    <row r="192" spans="1:5">
      <c r="A192" s="85">
        <v>35341</v>
      </c>
      <c r="B192" s="84">
        <v>10320</v>
      </c>
      <c r="C192" s="84" t="s">
        <v>184</v>
      </c>
      <c r="D192" s="84">
        <v>516</v>
      </c>
      <c r="E192" s="84">
        <v>30</v>
      </c>
    </row>
    <row r="193" spans="1:5">
      <c r="A193" s="85">
        <v>35341</v>
      </c>
      <c r="B193" s="84">
        <v>10321</v>
      </c>
      <c r="C193" s="84" t="s">
        <v>194</v>
      </c>
      <c r="D193" s="84">
        <v>144</v>
      </c>
      <c r="E193" s="84">
        <v>10</v>
      </c>
    </row>
    <row r="194" spans="1:5">
      <c r="A194" s="85">
        <v>35342</v>
      </c>
      <c r="B194" s="84">
        <v>10322</v>
      </c>
      <c r="C194" s="84" t="s">
        <v>183</v>
      </c>
      <c r="D194" s="84">
        <v>112</v>
      </c>
      <c r="E194" s="84">
        <v>20</v>
      </c>
    </row>
    <row r="195" spans="1:5">
      <c r="A195" s="85">
        <v>35345</v>
      </c>
      <c r="B195" s="84">
        <v>10323</v>
      </c>
      <c r="C195" s="84" t="s">
        <v>196</v>
      </c>
      <c r="D195" s="84">
        <v>62</v>
      </c>
      <c r="E195" s="84">
        <v>5</v>
      </c>
    </row>
    <row r="196" spans="1:5">
      <c r="A196" s="85">
        <v>35345</v>
      </c>
      <c r="B196" s="84">
        <v>10323</v>
      </c>
      <c r="C196" s="84" t="s">
        <v>195</v>
      </c>
      <c r="D196" s="84">
        <v>44.8</v>
      </c>
      <c r="E196" s="84">
        <v>4</v>
      </c>
    </row>
    <row r="197" spans="1:5">
      <c r="A197" s="85">
        <v>35345</v>
      </c>
      <c r="B197" s="84">
        <v>10323</v>
      </c>
      <c r="C197" s="84" t="s">
        <v>194</v>
      </c>
      <c r="D197" s="84">
        <v>57.6</v>
      </c>
      <c r="E197" s="84">
        <v>4</v>
      </c>
    </row>
    <row r="198" spans="1:5">
      <c r="A198" s="85">
        <v>35346</v>
      </c>
      <c r="B198" s="84">
        <v>10324</v>
      </c>
      <c r="C198" s="84" t="s">
        <v>195</v>
      </c>
      <c r="D198" s="84">
        <v>248.1149982601404</v>
      </c>
      <c r="E198" s="84">
        <v>21</v>
      </c>
    </row>
    <row r="199" spans="1:5">
      <c r="A199" s="85">
        <v>35346</v>
      </c>
      <c r="B199" s="84">
        <v>10324</v>
      </c>
      <c r="C199" s="84" t="s">
        <v>194</v>
      </c>
      <c r="D199" s="84">
        <v>856.79999399185181</v>
      </c>
      <c r="E199" s="84">
        <v>70</v>
      </c>
    </row>
    <row r="200" spans="1:5">
      <c r="A200" s="85">
        <v>35346</v>
      </c>
      <c r="B200" s="84">
        <v>10324</v>
      </c>
      <c r="C200" s="84" t="s">
        <v>193</v>
      </c>
      <c r="D200" s="84">
        <v>288</v>
      </c>
      <c r="E200" s="84">
        <v>30</v>
      </c>
    </row>
    <row r="201" spans="1:5">
      <c r="A201" s="85">
        <v>35346</v>
      </c>
      <c r="B201" s="84">
        <v>10324</v>
      </c>
      <c r="C201" s="84" t="s">
        <v>184</v>
      </c>
      <c r="D201" s="84">
        <v>1495.9999895095825</v>
      </c>
      <c r="E201" s="84">
        <v>40</v>
      </c>
    </row>
    <row r="202" spans="1:5">
      <c r="A202" s="85">
        <v>35346</v>
      </c>
      <c r="B202" s="84">
        <v>10324</v>
      </c>
      <c r="C202" s="84" t="s">
        <v>196</v>
      </c>
      <c r="D202" s="84">
        <v>2386.7999832630157</v>
      </c>
      <c r="E202" s="84">
        <v>80</v>
      </c>
    </row>
    <row r="203" spans="1:5">
      <c r="A203" s="85">
        <v>35347</v>
      </c>
      <c r="B203" s="84">
        <v>10325</v>
      </c>
      <c r="C203" s="84" t="s">
        <v>191</v>
      </c>
      <c r="D203" s="84">
        <v>167.4</v>
      </c>
      <c r="E203" s="84">
        <v>9</v>
      </c>
    </row>
    <row r="204" spans="1:5">
      <c r="A204" s="85">
        <v>35347</v>
      </c>
      <c r="B204" s="84">
        <v>10325</v>
      </c>
      <c r="C204" s="84" t="s">
        <v>196</v>
      </c>
      <c r="D204" s="84">
        <v>120</v>
      </c>
      <c r="E204" s="84">
        <v>6</v>
      </c>
    </row>
    <row r="205" spans="1:5">
      <c r="A205" s="85">
        <v>35347</v>
      </c>
      <c r="B205" s="84">
        <v>10325</v>
      </c>
      <c r="C205" s="84" t="s">
        <v>184</v>
      </c>
      <c r="D205" s="84">
        <v>40</v>
      </c>
      <c r="E205" s="84">
        <v>4</v>
      </c>
    </row>
    <row r="206" spans="1:5">
      <c r="A206" s="85">
        <v>35347</v>
      </c>
      <c r="B206" s="84">
        <v>10325</v>
      </c>
      <c r="C206" s="84" t="s">
        <v>184</v>
      </c>
      <c r="D206" s="84">
        <v>1112</v>
      </c>
      <c r="E206" s="84">
        <v>40</v>
      </c>
    </row>
    <row r="207" spans="1:5">
      <c r="A207" s="85">
        <v>35347</v>
      </c>
      <c r="B207" s="84">
        <v>10325</v>
      </c>
      <c r="C207" s="84" t="s">
        <v>193</v>
      </c>
      <c r="D207" s="84">
        <v>57.6</v>
      </c>
      <c r="E207" s="84">
        <v>12</v>
      </c>
    </row>
    <row r="208" spans="1:5">
      <c r="A208" s="85">
        <v>35348</v>
      </c>
      <c r="B208" s="84">
        <v>10326</v>
      </c>
      <c r="C208" s="84" t="s">
        <v>196</v>
      </c>
      <c r="D208" s="84">
        <v>422.4</v>
      </c>
      <c r="E208" s="84">
        <v>24</v>
      </c>
    </row>
    <row r="209" spans="1:5">
      <c r="A209" s="85">
        <v>35348</v>
      </c>
      <c r="B209" s="84">
        <v>10326</v>
      </c>
      <c r="C209" s="84" t="s">
        <v>183</v>
      </c>
      <c r="D209" s="84">
        <v>249.6</v>
      </c>
      <c r="E209" s="84">
        <v>16</v>
      </c>
    </row>
    <row r="210" spans="1:5">
      <c r="A210" s="85">
        <v>35348</v>
      </c>
      <c r="B210" s="84">
        <v>10326</v>
      </c>
      <c r="C210" s="84" t="s">
        <v>194</v>
      </c>
      <c r="D210" s="84">
        <v>310</v>
      </c>
      <c r="E210" s="84">
        <v>50</v>
      </c>
    </row>
    <row r="211" spans="1:5">
      <c r="A211" s="85">
        <v>35349</v>
      </c>
      <c r="B211" s="84">
        <v>10327</v>
      </c>
      <c r="C211" s="84" t="s">
        <v>194</v>
      </c>
      <c r="D211" s="84">
        <v>303.99999886751175</v>
      </c>
      <c r="E211" s="84">
        <v>25</v>
      </c>
    </row>
    <row r="212" spans="1:5">
      <c r="A212" s="85">
        <v>35349</v>
      </c>
      <c r="B212" s="84">
        <v>10327</v>
      </c>
      <c r="C212" s="84" t="s">
        <v>184</v>
      </c>
      <c r="D212" s="84">
        <v>671.99999749660492</v>
      </c>
      <c r="E212" s="84">
        <v>50</v>
      </c>
    </row>
    <row r="213" spans="1:5">
      <c r="A213" s="85">
        <v>35349</v>
      </c>
      <c r="B213" s="84">
        <v>10327</v>
      </c>
      <c r="C213" s="84" t="s">
        <v>193</v>
      </c>
      <c r="D213" s="84">
        <v>579.59999784082174</v>
      </c>
      <c r="E213" s="84">
        <v>35</v>
      </c>
    </row>
    <row r="214" spans="1:5">
      <c r="A214" s="85">
        <v>35349</v>
      </c>
      <c r="B214" s="84">
        <v>10327</v>
      </c>
      <c r="C214" s="84" t="s">
        <v>193</v>
      </c>
      <c r="D214" s="84">
        <v>254.39999905228615</v>
      </c>
      <c r="E214" s="84">
        <v>30</v>
      </c>
    </row>
    <row r="215" spans="1:5">
      <c r="A215" s="85">
        <v>35352</v>
      </c>
      <c r="B215" s="84">
        <v>10328</v>
      </c>
      <c r="C215" s="84" t="s">
        <v>184</v>
      </c>
      <c r="D215" s="84">
        <v>396</v>
      </c>
      <c r="E215" s="84">
        <v>9</v>
      </c>
    </row>
    <row r="216" spans="1:5">
      <c r="A216" s="85">
        <v>35352</v>
      </c>
      <c r="B216" s="84">
        <v>10328</v>
      </c>
      <c r="C216" s="84" t="s">
        <v>196</v>
      </c>
      <c r="D216" s="84">
        <v>672</v>
      </c>
      <c r="E216" s="84">
        <v>40</v>
      </c>
    </row>
    <row r="217" spans="1:5">
      <c r="A217" s="85">
        <v>35352</v>
      </c>
      <c r="B217" s="84">
        <v>10328</v>
      </c>
      <c r="C217" s="84" t="s">
        <v>195</v>
      </c>
      <c r="D217" s="84">
        <v>100</v>
      </c>
      <c r="E217" s="84">
        <v>10</v>
      </c>
    </row>
    <row r="218" spans="1:5">
      <c r="A218" s="85">
        <v>35353</v>
      </c>
      <c r="B218" s="84">
        <v>10329</v>
      </c>
      <c r="C218" s="84" t="s">
        <v>195</v>
      </c>
      <c r="D218" s="84">
        <v>69.349999945610762</v>
      </c>
      <c r="E218" s="84">
        <v>10</v>
      </c>
    </row>
    <row r="219" spans="1:5">
      <c r="A219" s="85">
        <v>35353</v>
      </c>
      <c r="B219" s="84">
        <v>10329</v>
      </c>
      <c r="C219" s="84" t="s">
        <v>193</v>
      </c>
      <c r="D219" s="84">
        <v>157.31999987661837</v>
      </c>
      <c r="E219" s="84">
        <v>8</v>
      </c>
    </row>
    <row r="220" spans="1:5">
      <c r="A220" s="85">
        <v>35353</v>
      </c>
      <c r="B220" s="84">
        <v>10329</v>
      </c>
      <c r="C220" s="84" t="s">
        <v>194</v>
      </c>
      <c r="D220" s="84">
        <v>4005.1999968588352</v>
      </c>
      <c r="E220" s="84">
        <v>20</v>
      </c>
    </row>
    <row r="221" spans="1:5">
      <c r="A221" s="85">
        <v>35353</v>
      </c>
      <c r="B221" s="84">
        <v>10329</v>
      </c>
      <c r="C221" s="84" t="s">
        <v>183</v>
      </c>
      <c r="D221" s="84">
        <v>346.55999972820285</v>
      </c>
      <c r="E221" s="84">
        <v>12</v>
      </c>
    </row>
    <row r="222" spans="1:5">
      <c r="A222" s="85">
        <v>35354</v>
      </c>
      <c r="B222" s="84">
        <v>10330</v>
      </c>
      <c r="C222" s="84" t="s">
        <v>195</v>
      </c>
      <c r="D222" s="84">
        <v>1058.2499925792217</v>
      </c>
      <c r="E222" s="84">
        <v>50</v>
      </c>
    </row>
    <row r="223" spans="1:5">
      <c r="A223" s="85">
        <v>35354</v>
      </c>
      <c r="B223" s="84">
        <v>10330</v>
      </c>
      <c r="C223" s="84" t="s">
        <v>184</v>
      </c>
      <c r="D223" s="84">
        <v>590.74999585747719</v>
      </c>
      <c r="E223" s="84">
        <v>25</v>
      </c>
    </row>
    <row r="224" spans="1:5">
      <c r="A224" s="85">
        <v>35354</v>
      </c>
      <c r="B224" s="84">
        <v>10331</v>
      </c>
      <c r="C224" s="84" t="s">
        <v>185</v>
      </c>
      <c r="D224" s="84">
        <v>88.5</v>
      </c>
      <c r="E224" s="84">
        <v>15</v>
      </c>
    </row>
    <row r="225" spans="1:5">
      <c r="A225" s="85">
        <v>35355</v>
      </c>
      <c r="B225" s="84">
        <v>10332</v>
      </c>
      <c r="C225" s="84" t="s">
        <v>193</v>
      </c>
      <c r="D225" s="84">
        <v>1599.9999940395355</v>
      </c>
      <c r="E225" s="84">
        <v>40</v>
      </c>
    </row>
    <row r="226" spans="1:5">
      <c r="A226" s="85">
        <v>35355</v>
      </c>
      <c r="B226" s="84">
        <v>10332</v>
      </c>
      <c r="C226" s="84" t="s">
        <v>183</v>
      </c>
      <c r="D226" s="84">
        <v>89.599999666213989</v>
      </c>
      <c r="E226" s="84">
        <v>10</v>
      </c>
    </row>
    <row r="227" spans="1:5">
      <c r="A227" s="85">
        <v>35355</v>
      </c>
      <c r="B227" s="84">
        <v>10332</v>
      </c>
      <c r="C227" s="84" t="s">
        <v>195</v>
      </c>
      <c r="D227" s="84">
        <v>97.279999637603751</v>
      </c>
      <c r="E227" s="84">
        <v>16</v>
      </c>
    </row>
    <row r="228" spans="1:5">
      <c r="A228" s="85">
        <v>35356</v>
      </c>
      <c r="B228" s="84">
        <v>10333</v>
      </c>
      <c r="C228" s="84" t="s">
        <v>191</v>
      </c>
      <c r="D228" s="84">
        <v>186</v>
      </c>
      <c r="E228" s="84">
        <v>10</v>
      </c>
    </row>
    <row r="229" spans="1:5">
      <c r="A229" s="85">
        <v>35356</v>
      </c>
      <c r="B229" s="84">
        <v>10333</v>
      </c>
      <c r="C229" s="84" t="s">
        <v>184</v>
      </c>
      <c r="D229" s="84">
        <v>619.19999897480011</v>
      </c>
      <c r="E229" s="84">
        <v>40</v>
      </c>
    </row>
    <row r="230" spans="1:5">
      <c r="A230" s="85">
        <v>35356</v>
      </c>
      <c r="B230" s="84">
        <v>10333</v>
      </c>
      <c r="C230" s="84" t="s">
        <v>195</v>
      </c>
      <c r="D230" s="84">
        <v>71.99999988079071</v>
      </c>
      <c r="E230" s="84">
        <v>10</v>
      </c>
    </row>
    <row r="231" spans="1:5">
      <c r="A231" s="85">
        <v>35359</v>
      </c>
      <c r="B231" s="84">
        <v>10334</v>
      </c>
      <c r="C231" s="84" t="s">
        <v>183</v>
      </c>
      <c r="D231" s="84">
        <v>44.8</v>
      </c>
      <c r="E231" s="84">
        <v>8</v>
      </c>
    </row>
    <row r="232" spans="1:5">
      <c r="A232" s="85">
        <v>35359</v>
      </c>
      <c r="B232" s="84">
        <v>10334</v>
      </c>
      <c r="C232" s="84" t="s">
        <v>195</v>
      </c>
      <c r="D232" s="84">
        <v>100</v>
      </c>
      <c r="E232" s="84">
        <v>10</v>
      </c>
    </row>
    <row r="233" spans="1:5">
      <c r="A233" s="85">
        <v>35360</v>
      </c>
      <c r="B233" s="84">
        <v>10335</v>
      </c>
      <c r="C233" s="84" t="s">
        <v>194</v>
      </c>
      <c r="D233" s="84">
        <v>85.119999682903298</v>
      </c>
      <c r="E233" s="84">
        <v>7</v>
      </c>
    </row>
    <row r="234" spans="1:5">
      <c r="A234" s="85">
        <v>35360</v>
      </c>
      <c r="B234" s="84">
        <v>10335</v>
      </c>
      <c r="C234" s="84" t="s">
        <v>184</v>
      </c>
      <c r="D234" s="84">
        <v>199.99999925494194</v>
      </c>
      <c r="E234" s="84">
        <v>25</v>
      </c>
    </row>
    <row r="235" spans="1:5">
      <c r="A235" s="85">
        <v>35360</v>
      </c>
      <c r="B235" s="84">
        <v>10335</v>
      </c>
      <c r="C235" s="84" t="s">
        <v>184</v>
      </c>
      <c r="D235" s="84">
        <v>122.87999954223632</v>
      </c>
      <c r="E235" s="84">
        <v>6</v>
      </c>
    </row>
    <row r="236" spans="1:5">
      <c r="A236" s="85">
        <v>35360</v>
      </c>
      <c r="B236" s="84">
        <v>10335</v>
      </c>
      <c r="C236" s="84" t="s">
        <v>191</v>
      </c>
      <c r="D236" s="84">
        <v>1628.1599939346313</v>
      </c>
      <c r="E236" s="84">
        <v>48</v>
      </c>
    </row>
    <row r="237" spans="1:5">
      <c r="A237" s="85">
        <v>35361</v>
      </c>
      <c r="B237" s="84">
        <v>10336</v>
      </c>
      <c r="C237" s="84" t="s">
        <v>196</v>
      </c>
      <c r="D237" s="84">
        <v>285.11999952793121</v>
      </c>
      <c r="E237" s="84">
        <v>18</v>
      </c>
    </row>
    <row r="238" spans="1:5">
      <c r="A238" s="85">
        <v>35362</v>
      </c>
      <c r="B238" s="84">
        <v>10337</v>
      </c>
      <c r="C238" s="84" t="s">
        <v>193</v>
      </c>
      <c r="D238" s="84">
        <v>582.4</v>
      </c>
      <c r="E238" s="84">
        <v>28</v>
      </c>
    </row>
    <row r="239" spans="1:5">
      <c r="A239" s="85">
        <v>35362</v>
      </c>
      <c r="B239" s="84">
        <v>10337</v>
      </c>
      <c r="C239" s="84" t="s">
        <v>184</v>
      </c>
      <c r="D239" s="84">
        <v>695</v>
      </c>
      <c r="E239" s="84">
        <v>25</v>
      </c>
    </row>
    <row r="240" spans="1:5">
      <c r="A240" s="85">
        <v>35362</v>
      </c>
      <c r="B240" s="84">
        <v>10337</v>
      </c>
      <c r="C240" s="84" t="s">
        <v>193</v>
      </c>
      <c r="D240" s="84">
        <v>304</v>
      </c>
      <c r="E240" s="84">
        <v>20</v>
      </c>
    </row>
    <row r="241" spans="1:5">
      <c r="A241" s="85">
        <v>35362</v>
      </c>
      <c r="B241" s="84">
        <v>10337</v>
      </c>
      <c r="C241" s="84" t="s">
        <v>195</v>
      </c>
      <c r="D241" s="84">
        <v>597.6</v>
      </c>
      <c r="E241" s="84">
        <v>24</v>
      </c>
    </row>
    <row r="242" spans="1:5">
      <c r="A242" s="85">
        <v>35362</v>
      </c>
      <c r="B242" s="84">
        <v>10337</v>
      </c>
      <c r="C242" s="84" t="s">
        <v>183</v>
      </c>
      <c r="D242" s="84">
        <v>288</v>
      </c>
      <c r="E242" s="84">
        <v>40</v>
      </c>
    </row>
    <row r="243" spans="1:5">
      <c r="A243" s="85">
        <v>35363</v>
      </c>
      <c r="B243" s="84">
        <v>10338</v>
      </c>
      <c r="C243" s="84" t="s">
        <v>193</v>
      </c>
      <c r="D243" s="84">
        <v>310.5</v>
      </c>
      <c r="E243" s="84">
        <v>15</v>
      </c>
    </row>
    <row r="244" spans="1:5">
      <c r="A244" s="85">
        <v>35363</v>
      </c>
      <c r="B244" s="84">
        <v>10338</v>
      </c>
      <c r="C244" s="84" t="s">
        <v>185</v>
      </c>
      <c r="D244" s="84">
        <v>624</v>
      </c>
      <c r="E244" s="84">
        <v>20</v>
      </c>
    </row>
    <row r="245" spans="1:5">
      <c r="A245" s="85">
        <v>35366</v>
      </c>
      <c r="B245" s="84">
        <v>10339</v>
      </c>
      <c r="C245" s="84" t="s">
        <v>196</v>
      </c>
      <c r="D245" s="84">
        <v>176</v>
      </c>
      <c r="E245" s="84">
        <v>10</v>
      </c>
    </row>
    <row r="246" spans="1:5">
      <c r="A246" s="85">
        <v>35366</v>
      </c>
      <c r="B246" s="84">
        <v>10339</v>
      </c>
      <c r="C246" s="84" t="s">
        <v>185</v>
      </c>
      <c r="D246" s="84">
        <v>2074.7999983727932</v>
      </c>
      <c r="E246" s="84">
        <v>70</v>
      </c>
    </row>
    <row r="247" spans="1:5">
      <c r="A247" s="85">
        <v>35366</v>
      </c>
      <c r="B247" s="84">
        <v>10339</v>
      </c>
      <c r="C247" s="84" t="s">
        <v>195</v>
      </c>
      <c r="D247" s="84">
        <v>1103.2</v>
      </c>
      <c r="E247" s="84">
        <v>28</v>
      </c>
    </row>
    <row r="248" spans="1:5">
      <c r="A248" s="85">
        <v>35367</v>
      </c>
      <c r="B248" s="84">
        <v>10340</v>
      </c>
      <c r="C248" s="84" t="s">
        <v>193</v>
      </c>
      <c r="D248" s="84">
        <v>949.99999925494194</v>
      </c>
      <c r="E248" s="84">
        <v>20</v>
      </c>
    </row>
    <row r="249" spans="1:5">
      <c r="A249" s="85">
        <v>35367</v>
      </c>
      <c r="B249" s="84">
        <v>10340</v>
      </c>
      <c r="C249" s="84" t="s">
        <v>193</v>
      </c>
      <c r="D249" s="84">
        <v>87.779999931156638</v>
      </c>
      <c r="E249" s="84">
        <v>12</v>
      </c>
    </row>
    <row r="250" spans="1:5">
      <c r="A250" s="85">
        <v>35367</v>
      </c>
      <c r="B250" s="84">
        <v>10340</v>
      </c>
      <c r="C250" s="84" t="s">
        <v>194</v>
      </c>
      <c r="D250" s="84">
        <v>1398.3999989032745</v>
      </c>
      <c r="E250" s="84">
        <v>40</v>
      </c>
    </row>
    <row r="251" spans="1:5">
      <c r="A251" s="85">
        <v>35367</v>
      </c>
      <c r="B251" s="84">
        <v>10341</v>
      </c>
      <c r="C251" s="84" t="s">
        <v>184</v>
      </c>
      <c r="D251" s="84">
        <v>16</v>
      </c>
      <c r="E251" s="84">
        <v>8</v>
      </c>
    </row>
    <row r="252" spans="1:5">
      <c r="A252" s="85">
        <v>35367</v>
      </c>
      <c r="B252" s="84">
        <v>10341</v>
      </c>
      <c r="C252" s="84" t="s">
        <v>184</v>
      </c>
      <c r="D252" s="84">
        <v>336.59999763965607</v>
      </c>
      <c r="E252" s="84">
        <v>9</v>
      </c>
    </row>
    <row r="253" spans="1:5">
      <c r="A253" s="85">
        <v>35368</v>
      </c>
      <c r="B253" s="84">
        <v>10342</v>
      </c>
      <c r="C253" s="84" t="s">
        <v>194</v>
      </c>
      <c r="D253" s="84">
        <v>291.83999891281127</v>
      </c>
      <c r="E253" s="84">
        <v>24</v>
      </c>
    </row>
    <row r="254" spans="1:5">
      <c r="A254" s="85">
        <v>35368</v>
      </c>
      <c r="B254" s="84">
        <v>10342</v>
      </c>
      <c r="C254" s="84" t="s">
        <v>185</v>
      </c>
      <c r="D254" s="84">
        <v>614.39999771118164</v>
      </c>
      <c r="E254" s="84">
        <v>40</v>
      </c>
    </row>
    <row r="255" spans="1:5">
      <c r="A255" s="85">
        <v>35368</v>
      </c>
      <c r="B255" s="84">
        <v>10342</v>
      </c>
      <c r="C255" s="84" t="s">
        <v>193</v>
      </c>
      <c r="D255" s="84">
        <v>486.3999981880188</v>
      </c>
      <c r="E255" s="84">
        <v>40</v>
      </c>
    </row>
    <row r="256" spans="1:5">
      <c r="A256" s="85">
        <v>35368</v>
      </c>
      <c r="B256" s="84">
        <v>10342</v>
      </c>
      <c r="C256" s="84" t="s">
        <v>184</v>
      </c>
      <c r="D256" s="84">
        <v>447.99999833106995</v>
      </c>
      <c r="E256" s="84">
        <v>56</v>
      </c>
    </row>
    <row r="257" spans="1:5">
      <c r="A257" s="85">
        <v>35369</v>
      </c>
      <c r="B257" s="84">
        <v>10343</v>
      </c>
      <c r="C257" s="84" t="s">
        <v>183</v>
      </c>
      <c r="D257" s="84">
        <v>1330</v>
      </c>
      <c r="E257" s="84">
        <v>50</v>
      </c>
    </row>
    <row r="258" spans="1:5">
      <c r="A258" s="85">
        <v>35369</v>
      </c>
      <c r="B258" s="84">
        <v>10343</v>
      </c>
      <c r="C258" s="84" t="s">
        <v>195</v>
      </c>
      <c r="D258" s="84">
        <v>37.999999970197678</v>
      </c>
      <c r="E258" s="84">
        <v>4</v>
      </c>
    </row>
    <row r="259" spans="1:5">
      <c r="A259" s="85">
        <v>35369</v>
      </c>
      <c r="B259" s="84">
        <v>10343</v>
      </c>
      <c r="C259" s="84" t="s">
        <v>194</v>
      </c>
      <c r="D259" s="84">
        <v>216</v>
      </c>
      <c r="E259" s="84">
        <v>15</v>
      </c>
    </row>
    <row r="260" spans="1:5">
      <c r="A260" s="85">
        <v>35370</v>
      </c>
      <c r="B260" s="84">
        <v>10344</v>
      </c>
      <c r="C260" s="84" t="s">
        <v>196</v>
      </c>
      <c r="D260" s="84">
        <v>616</v>
      </c>
      <c r="E260" s="84">
        <v>35</v>
      </c>
    </row>
    <row r="261" spans="1:5">
      <c r="A261" s="85">
        <v>35370</v>
      </c>
      <c r="B261" s="84">
        <v>10344</v>
      </c>
      <c r="C261" s="84" t="s">
        <v>196</v>
      </c>
      <c r="D261" s="84">
        <v>1680</v>
      </c>
      <c r="E261" s="84">
        <v>70</v>
      </c>
    </row>
    <row r="262" spans="1:5">
      <c r="A262" s="85">
        <v>35373</v>
      </c>
      <c r="B262" s="84">
        <v>10345</v>
      </c>
      <c r="C262" s="84" t="s">
        <v>196</v>
      </c>
      <c r="D262" s="84">
        <v>2240</v>
      </c>
      <c r="E262" s="84">
        <v>70</v>
      </c>
    </row>
    <row r="263" spans="1:5">
      <c r="A263" s="85">
        <v>35373</v>
      </c>
      <c r="B263" s="84">
        <v>10345</v>
      </c>
      <c r="C263" s="84" t="s">
        <v>195</v>
      </c>
      <c r="D263" s="84">
        <v>584</v>
      </c>
      <c r="E263" s="84">
        <v>80</v>
      </c>
    </row>
    <row r="264" spans="1:5">
      <c r="A264" s="85">
        <v>35373</v>
      </c>
      <c r="B264" s="84">
        <v>10345</v>
      </c>
      <c r="C264" s="84" t="s">
        <v>183</v>
      </c>
      <c r="D264" s="84">
        <v>100.8</v>
      </c>
      <c r="E264" s="84">
        <v>9</v>
      </c>
    </row>
    <row r="265" spans="1:5">
      <c r="A265" s="85">
        <v>35374</v>
      </c>
      <c r="B265" s="84">
        <v>10346</v>
      </c>
      <c r="C265" s="84" t="s">
        <v>183</v>
      </c>
      <c r="D265" s="84">
        <v>608</v>
      </c>
      <c r="E265" s="84">
        <v>20</v>
      </c>
    </row>
    <row r="266" spans="1:5">
      <c r="A266" s="85">
        <v>35374</v>
      </c>
      <c r="B266" s="84">
        <v>10346</v>
      </c>
      <c r="C266" s="84" t="s">
        <v>185</v>
      </c>
      <c r="D266" s="84">
        <v>1010.8799983263016</v>
      </c>
      <c r="E266" s="84">
        <v>36</v>
      </c>
    </row>
    <row r="267" spans="1:5">
      <c r="A267" s="85">
        <v>35375</v>
      </c>
      <c r="B267" s="84">
        <v>10347</v>
      </c>
      <c r="C267" s="84" t="s">
        <v>194</v>
      </c>
      <c r="D267" s="84">
        <v>31.619999778270724</v>
      </c>
      <c r="E267" s="84">
        <v>6</v>
      </c>
    </row>
    <row r="268" spans="1:5">
      <c r="A268" s="85">
        <v>35375</v>
      </c>
      <c r="B268" s="84">
        <v>10347</v>
      </c>
      <c r="C268" s="84" t="s">
        <v>193</v>
      </c>
      <c r="D268" s="84">
        <v>58.8</v>
      </c>
      <c r="E268" s="84">
        <v>4</v>
      </c>
    </row>
    <row r="269" spans="1:5">
      <c r="A269" s="85">
        <v>35375</v>
      </c>
      <c r="B269" s="84">
        <v>10347</v>
      </c>
      <c r="C269" s="84" t="s">
        <v>195</v>
      </c>
      <c r="D269" s="84">
        <v>112</v>
      </c>
      <c r="E269" s="84">
        <v>10</v>
      </c>
    </row>
    <row r="270" spans="1:5">
      <c r="A270" s="85">
        <v>35375</v>
      </c>
      <c r="B270" s="84">
        <v>10347</v>
      </c>
      <c r="C270" s="84" t="s">
        <v>194</v>
      </c>
      <c r="D270" s="84">
        <v>611.99999570846558</v>
      </c>
      <c r="E270" s="84">
        <v>50</v>
      </c>
    </row>
    <row r="271" spans="1:5">
      <c r="A271" s="85">
        <v>35376</v>
      </c>
      <c r="B271" s="84">
        <v>10348</v>
      </c>
      <c r="C271" s="84" t="s">
        <v>194</v>
      </c>
      <c r="D271" s="84">
        <v>183.59999871253967</v>
      </c>
      <c r="E271" s="84">
        <v>15</v>
      </c>
    </row>
    <row r="272" spans="1:5">
      <c r="A272" s="85">
        <v>35376</v>
      </c>
      <c r="B272" s="84">
        <v>10348</v>
      </c>
      <c r="C272" s="84" t="s">
        <v>183</v>
      </c>
      <c r="D272" s="84">
        <v>180</v>
      </c>
      <c r="E272" s="84">
        <v>25</v>
      </c>
    </row>
    <row r="273" spans="1:5">
      <c r="A273" s="85">
        <v>35377</v>
      </c>
      <c r="B273" s="84">
        <v>10349</v>
      </c>
      <c r="C273" s="84" t="s">
        <v>185</v>
      </c>
      <c r="D273" s="84">
        <v>141.6</v>
      </c>
      <c r="E273" s="84">
        <v>24</v>
      </c>
    </row>
    <row r="274" spans="1:5">
      <c r="A274" s="85">
        <v>35380</v>
      </c>
      <c r="B274" s="84">
        <v>10350</v>
      </c>
      <c r="C274" s="84" t="s">
        <v>195</v>
      </c>
      <c r="D274" s="84">
        <v>175.49999970942736</v>
      </c>
      <c r="E274" s="84">
        <v>15</v>
      </c>
    </row>
    <row r="275" spans="1:5">
      <c r="A275" s="85">
        <v>35380</v>
      </c>
      <c r="B275" s="84">
        <v>10350</v>
      </c>
      <c r="C275" s="84" t="s">
        <v>184</v>
      </c>
      <c r="D275" s="84">
        <v>466.5599992275238</v>
      </c>
      <c r="E275" s="84">
        <v>18</v>
      </c>
    </row>
    <row r="276" spans="1:5">
      <c r="A276" s="85">
        <v>35380</v>
      </c>
      <c r="B276" s="84">
        <v>10351</v>
      </c>
      <c r="C276" s="84" t="s">
        <v>196</v>
      </c>
      <c r="D276" s="84">
        <v>159.59999987483025</v>
      </c>
      <c r="E276" s="84">
        <v>10</v>
      </c>
    </row>
    <row r="277" spans="1:5">
      <c r="A277" s="85">
        <v>35380</v>
      </c>
      <c r="B277" s="84">
        <v>10351</v>
      </c>
      <c r="C277" s="84" t="s">
        <v>194</v>
      </c>
      <c r="D277" s="84">
        <v>4005.1999968588352</v>
      </c>
      <c r="E277" s="84">
        <v>20</v>
      </c>
    </row>
    <row r="278" spans="1:5">
      <c r="A278" s="85">
        <v>35380</v>
      </c>
      <c r="B278" s="84">
        <v>10351</v>
      </c>
      <c r="C278" s="84" t="s">
        <v>193</v>
      </c>
      <c r="D278" s="84">
        <v>100.1</v>
      </c>
      <c r="E278" s="84">
        <v>13</v>
      </c>
    </row>
    <row r="279" spans="1:5">
      <c r="A279" s="85">
        <v>35380</v>
      </c>
      <c r="B279" s="84">
        <v>10351</v>
      </c>
      <c r="C279" s="84" t="s">
        <v>196</v>
      </c>
      <c r="D279" s="84">
        <v>1133.8249991107732</v>
      </c>
      <c r="E279" s="84">
        <v>77</v>
      </c>
    </row>
    <row r="280" spans="1:5">
      <c r="A280" s="85">
        <v>35381</v>
      </c>
      <c r="B280" s="84">
        <v>10352</v>
      </c>
      <c r="C280" s="84" t="s">
        <v>185</v>
      </c>
      <c r="D280" s="84">
        <v>100.29999929666519</v>
      </c>
      <c r="E280" s="84">
        <v>20</v>
      </c>
    </row>
    <row r="281" spans="1:5">
      <c r="A281" s="85">
        <v>35381</v>
      </c>
      <c r="B281" s="84">
        <v>10352</v>
      </c>
      <c r="C281" s="84" t="s">
        <v>194</v>
      </c>
      <c r="D281" s="84">
        <v>36</v>
      </c>
      <c r="E281" s="84">
        <v>10</v>
      </c>
    </row>
    <row r="282" spans="1:5">
      <c r="A282" s="85">
        <v>35382</v>
      </c>
      <c r="B282" s="84">
        <v>10353</v>
      </c>
      <c r="C282" s="84" t="s">
        <v>184</v>
      </c>
      <c r="D282" s="84">
        <v>161.27999939918519</v>
      </c>
      <c r="E282" s="84">
        <v>12</v>
      </c>
    </row>
    <row r="283" spans="1:5">
      <c r="A283" s="85">
        <v>35382</v>
      </c>
      <c r="B283" s="84">
        <v>10353</v>
      </c>
      <c r="C283" s="84" t="s">
        <v>194</v>
      </c>
      <c r="D283" s="84">
        <v>8431.9999685883522</v>
      </c>
      <c r="E283" s="84">
        <v>50</v>
      </c>
    </row>
    <row r="284" spans="1:5">
      <c r="A284" s="85">
        <v>35383</v>
      </c>
      <c r="B284" s="84">
        <v>10354</v>
      </c>
      <c r="C284" s="84" t="s">
        <v>194</v>
      </c>
      <c r="D284" s="84">
        <v>172.8</v>
      </c>
      <c r="E284" s="84">
        <v>12</v>
      </c>
    </row>
    <row r="285" spans="1:5">
      <c r="A285" s="85">
        <v>35383</v>
      </c>
      <c r="B285" s="84">
        <v>10354</v>
      </c>
      <c r="C285" s="84" t="s">
        <v>185</v>
      </c>
      <c r="D285" s="84">
        <v>396</v>
      </c>
      <c r="E285" s="84">
        <v>4</v>
      </c>
    </row>
    <row r="286" spans="1:5">
      <c r="A286" s="85">
        <v>35384</v>
      </c>
      <c r="B286" s="84">
        <v>10355</v>
      </c>
      <c r="C286" s="84" t="s">
        <v>194</v>
      </c>
      <c r="D286" s="84">
        <v>90</v>
      </c>
      <c r="E286" s="84">
        <v>25</v>
      </c>
    </row>
    <row r="287" spans="1:5">
      <c r="A287" s="85">
        <v>35384</v>
      </c>
      <c r="B287" s="84">
        <v>10355</v>
      </c>
      <c r="C287" s="84" t="s">
        <v>183</v>
      </c>
      <c r="D287" s="84">
        <v>390</v>
      </c>
      <c r="E287" s="84">
        <v>25</v>
      </c>
    </row>
    <row r="288" spans="1:5">
      <c r="A288" s="85">
        <v>35387</v>
      </c>
      <c r="B288" s="84">
        <v>10356</v>
      </c>
      <c r="C288" s="84" t="s">
        <v>184</v>
      </c>
      <c r="D288" s="84">
        <v>300</v>
      </c>
      <c r="E288" s="84">
        <v>30</v>
      </c>
    </row>
    <row r="289" spans="1:5">
      <c r="A289" s="85">
        <v>35387</v>
      </c>
      <c r="B289" s="84">
        <v>10356</v>
      </c>
      <c r="C289" s="84" t="s">
        <v>185</v>
      </c>
      <c r="D289" s="84">
        <v>230.4</v>
      </c>
      <c r="E289" s="84">
        <v>12</v>
      </c>
    </row>
    <row r="290" spans="1:5">
      <c r="A290" s="85">
        <v>35387</v>
      </c>
      <c r="B290" s="84">
        <v>10356</v>
      </c>
      <c r="C290" s="84" t="s">
        <v>184</v>
      </c>
      <c r="D290" s="84">
        <v>576</v>
      </c>
      <c r="E290" s="84">
        <v>20</v>
      </c>
    </row>
    <row r="291" spans="1:5">
      <c r="A291" s="85">
        <v>35388</v>
      </c>
      <c r="B291" s="84">
        <v>10357</v>
      </c>
      <c r="C291" s="84" t="s">
        <v>193</v>
      </c>
      <c r="D291" s="84">
        <v>595.19999778270721</v>
      </c>
      <c r="E291" s="84">
        <v>30</v>
      </c>
    </row>
    <row r="292" spans="1:5">
      <c r="A292" s="85">
        <v>35388</v>
      </c>
      <c r="B292" s="84">
        <v>10357</v>
      </c>
      <c r="C292" s="84" t="s">
        <v>195</v>
      </c>
      <c r="D292" s="84">
        <v>398.4</v>
      </c>
      <c r="E292" s="84">
        <v>16</v>
      </c>
    </row>
    <row r="293" spans="1:5">
      <c r="A293" s="85">
        <v>35388</v>
      </c>
      <c r="B293" s="84">
        <v>10357</v>
      </c>
      <c r="C293" s="84" t="s">
        <v>184</v>
      </c>
      <c r="D293" s="84">
        <v>174.07999935150147</v>
      </c>
      <c r="E293" s="84">
        <v>8</v>
      </c>
    </row>
    <row r="294" spans="1:5">
      <c r="A294" s="85">
        <v>35389</v>
      </c>
      <c r="B294" s="84">
        <v>10358</v>
      </c>
      <c r="C294" s="84" t="s">
        <v>194</v>
      </c>
      <c r="D294" s="84">
        <v>34.19999997317791</v>
      </c>
      <c r="E294" s="84">
        <v>10</v>
      </c>
    </row>
    <row r="295" spans="1:5">
      <c r="A295" s="85">
        <v>35389</v>
      </c>
      <c r="B295" s="84">
        <v>10358</v>
      </c>
      <c r="C295" s="84" t="s">
        <v>194</v>
      </c>
      <c r="D295" s="84">
        <v>106.3999999165535</v>
      </c>
      <c r="E295" s="84">
        <v>10</v>
      </c>
    </row>
    <row r="296" spans="1:5">
      <c r="A296" s="85">
        <v>35389</v>
      </c>
      <c r="B296" s="84">
        <v>10358</v>
      </c>
      <c r="C296" s="84" t="s">
        <v>193</v>
      </c>
      <c r="D296" s="84">
        <v>288.79999977350235</v>
      </c>
      <c r="E296" s="84">
        <v>20</v>
      </c>
    </row>
    <row r="297" spans="1:5">
      <c r="A297" s="85">
        <v>35390</v>
      </c>
      <c r="B297" s="84">
        <v>10359</v>
      </c>
      <c r="C297" s="84" t="s">
        <v>195</v>
      </c>
      <c r="D297" s="84">
        <v>739.47999942004674</v>
      </c>
      <c r="E297" s="84">
        <v>56</v>
      </c>
    </row>
    <row r="298" spans="1:5">
      <c r="A298" s="85">
        <v>35390</v>
      </c>
      <c r="B298" s="84">
        <v>10359</v>
      </c>
      <c r="C298" s="84" t="s">
        <v>184</v>
      </c>
      <c r="D298" s="84">
        <v>664.99999947845936</v>
      </c>
      <c r="E298" s="84">
        <v>70</v>
      </c>
    </row>
    <row r="299" spans="1:5">
      <c r="A299" s="85">
        <v>35390</v>
      </c>
      <c r="B299" s="84">
        <v>10359</v>
      </c>
      <c r="C299" s="84" t="s">
        <v>184</v>
      </c>
      <c r="D299" s="84">
        <v>2067.1999983787537</v>
      </c>
      <c r="E299" s="84">
        <v>80</v>
      </c>
    </row>
    <row r="300" spans="1:5">
      <c r="A300" s="85">
        <v>35391</v>
      </c>
      <c r="B300" s="84">
        <v>10360</v>
      </c>
      <c r="C300" s="84" t="s">
        <v>185</v>
      </c>
      <c r="D300" s="84">
        <v>165.2</v>
      </c>
      <c r="E300" s="84">
        <v>28</v>
      </c>
    </row>
    <row r="301" spans="1:5">
      <c r="A301" s="85">
        <v>35391</v>
      </c>
      <c r="B301" s="84">
        <v>10360</v>
      </c>
      <c r="C301" s="84" t="s">
        <v>191</v>
      </c>
      <c r="D301" s="84">
        <v>1092</v>
      </c>
      <c r="E301" s="84">
        <v>30</v>
      </c>
    </row>
    <row r="302" spans="1:5">
      <c r="A302" s="85">
        <v>35391</v>
      </c>
      <c r="B302" s="84">
        <v>10360</v>
      </c>
      <c r="C302" s="84" t="s">
        <v>185</v>
      </c>
      <c r="D302" s="84">
        <v>3465</v>
      </c>
      <c r="E302" s="84">
        <v>35</v>
      </c>
    </row>
    <row r="303" spans="1:5">
      <c r="A303" s="85">
        <v>35391</v>
      </c>
      <c r="B303" s="84">
        <v>10360</v>
      </c>
      <c r="C303" s="84" t="s">
        <v>194</v>
      </c>
      <c r="D303" s="84">
        <v>2108</v>
      </c>
      <c r="E303" s="84">
        <v>10</v>
      </c>
    </row>
    <row r="304" spans="1:5">
      <c r="A304" s="85">
        <v>35391</v>
      </c>
      <c r="B304" s="84">
        <v>10360</v>
      </c>
      <c r="C304" s="84" t="s">
        <v>195</v>
      </c>
      <c r="D304" s="84">
        <v>560</v>
      </c>
      <c r="E304" s="84">
        <v>35</v>
      </c>
    </row>
    <row r="305" spans="1:5">
      <c r="A305" s="85">
        <v>35391</v>
      </c>
      <c r="B305" s="84">
        <v>10361</v>
      </c>
      <c r="C305" s="84" t="s">
        <v>184</v>
      </c>
      <c r="D305" s="84">
        <v>1346.3999977707863</v>
      </c>
      <c r="E305" s="84">
        <v>55</v>
      </c>
    </row>
    <row r="306" spans="1:5">
      <c r="A306" s="85">
        <v>35391</v>
      </c>
      <c r="B306" s="84">
        <v>10361</v>
      </c>
      <c r="C306" s="84" t="s">
        <v>194</v>
      </c>
      <c r="D306" s="84">
        <v>699.83999884128571</v>
      </c>
      <c r="E306" s="84">
        <v>54</v>
      </c>
    </row>
    <row r="307" spans="1:5">
      <c r="A307" s="85">
        <v>35394</v>
      </c>
      <c r="B307" s="84">
        <v>10362</v>
      </c>
      <c r="C307" s="84" t="s">
        <v>195</v>
      </c>
      <c r="D307" s="84">
        <v>560</v>
      </c>
      <c r="E307" s="84">
        <v>50</v>
      </c>
    </row>
    <row r="308" spans="1:5">
      <c r="A308" s="85">
        <v>35394</v>
      </c>
      <c r="B308" s="84">
        <v>10362</v>
      </c>
      <c r="C308" s="84" t="s">
        <v>191</v>
      </c>
      <c r="D308" s="84">
        <v>848</v>
      </c>
      <c r="E308" s="84">
        <v>20</v>
      </c>
    </row>
    <row r="309" spans="1:5">
      <c r="A309" s="85">
        <v>35394</v>
      </c>
      <c r="B309" s="84">
        <v>10362</v>
      </c>
      <c r="C309" s="84" t="s">
        <v>185</v>
      </c>
      <c r="D309" s="84">
        <v>141.6</v>
      </c>
      <c r="E309" s="84">
        <v>24</v>
      </c>
    </row>
    <row r="310" spans="1:5">
      <c r="A310" s="85">
        <v>35395</v>
      </c>
      <c r="B310" s="84">
        <v>10363</v>
      </c>
      <c r="C310" s="84" t="s">
        <v>184</v>
      </c>
      <c r="D310" s="84">
        <v>200</v>
      </c>
      <c r="E310" s="84">
        <v>20</v>
      </c>
    </row>
    <row r="311" spans="1:5">
      <c r="A311" s="85">
        <v>35395</v>
      </c>
      <c r="B311" s="84">
        <v>10363</v>
      </c>
      <c r="C311" s="84" t="s">
        <v>194</v>
      </c>
      <c r="D311" s="84">
        <v>74.400000000000006</v>
      </c>
      <c r="E311" s="84">
        <v>12</v>
      </c>
    </row>
    <row r="312" spans="1:5">
      <c r="A312" s="85">
        <v>35395</v>
      </c>
      <c r="B312" s="84">
        <v>10363</v>
      </c>
      <c r="C312" s="84" t="s">
        <v>194</v>
      </c>
      <c r="D312" s="84">
        <v>172.8</v>
      </c>
      <c r="E312" s="84">
        <v>12</v>
      </c>
    </row>
    <row r="313" spans="1:5">
      <c r="A313" s="85">
        <v>35395</v>
      </c>
      <c r="B313" s="84">
        <v>10364</v>
      </c>
      <c r="C313" s="84" t="s">
        <v>184</v>
      </c>
      <c r="D313" s="84">
        <v>864</v>
      </c>
      <c r="E313" s="84">
        <v>30</v>
      </c>
    </row>
    <row r="314" spans="1:5">
      <c r="A314" s="85">
        <v>35395</v>
      </c>
      <c r="B314" s="84">
        <v>10364</v>
      </c>
      <c r="C314" s="84" t="s">
        <v>184</v>
      </c>
      <c r="D314" s="84">
        <v>86</v>
      </c>
      <c r="E314" s="84">
        <v>5</v>
      </c>
    </row>
    <row r="315" spans="1:5">
      <c r="A315" s="85">
        <v>35396</v>
      </c>
      <c r="B315" s="84">
        <v>10365</v>
      </c>
      <c r="C315" s="84" t="s">
        <v>184</v>
      </c>
      <c r="D315" s="84">
        <v>403.2</v>
      </c>
      <c r="E315" s="84">
        <v>24</v>
      </c>
    </row>
    <row r="316" spans="1:5">
      <c r="A316" s="85">
        <v>35397</v>
      </c>
      <c r="B316" s="84">
        <v>10366</v>
      </c>
      <c r="C316" s="84" t="s">
        <v>196</v>
      </c>
      <c r="D316" s="84">
        <v>84</v>
      </c>
      <c r="E316" s="84">
        <v>5</v>
      </c>
    </row>
    <row r="317" spans="1:5">
      <c r="A317" s="85">
        <v>35397</v>
      </c>
      <c r="B317" s="84">
        <v>10366</v>
      </c>
      <c r="C317" s="84" t="s">
        <v>196</v>
      </c>
      <c r="D317" s="84">
        <v>52</v>
      </c>
      <c r="E317" s="84">
        <v>5</v>
      </c>
    </row>
    <row r="318" spans="1:5">
      <c r="A318" s="85">
        <v>35397</v>
      </c>
      <c r="B318" s="84">
        <v>10367</v>
      </c>
      <c r="C318" s="84" t="s">
        <v>185</v>
      </c>
      <c r="D318" s="84">
        <v>106.2</v>
      </c>
      <c r="E318" s="84">
        <v>18</v>
      </c>
    </row>
    <row r="319" spans="1:5">
      <c r="A319" s="85">
        <v>35397</v>
      </c>
      <c r="B319" s="84">
        <v>10367</v>
      </c>
      <c r="C319" s="84" t="s">
        <v>196</v>
      </c>
      <c r="D319" s="84">
        <v>252</v>
      </c>
      <c r="E319" s="84">
        <v>15</v>
      </c>
    </row>
    <row r="320" spans="1:5">
      <c r="A320" s="85">
        <v>35397</v>
      </c>
      <c r="B320" s="84">
        <v>10367</v>
      </c>
      <c r="C320" s="84" t="s">
        <v>196</v>
      </c>
      <c r="D320" s="84">
        <v>72.8</v>
      </c>
      <c r="E320" s="84">
        <v>7</v>
      </c>
    </row>
    <row r="321" spans="1:5">
      <c r="A321" s="85">
        <v>35397</v>
      </c>
      <c r="B321" s="84">
        <v>10367</v>
      </c>
      <c r="C321" s="84" t="s">
        <v>194</v>
      </c>
      <c r="D321" s="84">
        <v>403.2</v>
      </c>
      <c r="E321" s="84">
        <v>36</v>
      </c>
    </row>
    <row r="322" spans="1:5">
      <c r="A322" s="85">
        <v>35398</v>
      </c>
      <c r="B322" s="84">
        <v>10368</v>
      </c>
      <c r="C322" s="84" t="s">
        <v>195</v>
      </c>
      <c r="D322" s="84">
        <v>35.999999940395355</v>
      </c>
      <c r="E322" s="84">
        <v>5</v>
      </c>
    </row>
    <row r="323" spans="1:5">
      <c r="A323" s="85">
        <v>35398</v>
      </c>
      <c r="B323" s="84">
        <v>10368</v>
      </c>
      <c r="C323" s="84" t="s">
        <v>191</v>
      </c>
      <c r="D323" s="84">
        <v>425.87999929487705</v>
      </c>
      <c r="E323" s="84">
        <v>13</v>
      </c>
    </row>
    <row r="324" spans="1:5">
      <c r="A324" s="85">
        <v>35398</v>
      </c>
      <c r="B324" s="84">
        <v>10368</v>
      </c>
      <c r="C324" s="84" t="s">
        <v>183</v>
      </c>
      <c r="D324" s="84">
        <v>390</v>
      </c>
      <c r="E324" s="84">
        <v>25</v>
      </c>
    </row>
    <row r="325" spans="1:5">
      <c r="A325" s="85">
        <v>35398</v>
      </c>
      <c r="B325" s="84">
        <v>10368</v>
      </c>
      <c r="C325" s="84" t="s">
        <v>183</v>
      </c>
      <c r="D325" s="84">
        <v>837.89999861270189</v>
      </c>
      <c r="E325" s="84">
        <v>35</v>
      </c>
    </row>
    <row r="326" spans="1:5">
      <c r="A326" s="85">
        <v>35401</v>
      </c>
      <c r="B326" s="84">
        <v>10369</v>
      </c>
      <c r="C326" s="84" t="s">
        <v>185</v>
      </c>
      <c r="D326" s="84">
        <v>1980</v>
      </c>
      <c r="E326" s="84">
        <v>20</v>
      </c>
    </row>
    <row r="327" spans="1:5">
      <c r="A327" s="85">
        <v>35401</v>
      </c>
      <c r="B327" s="84">
        <v>10369</v>
      </c>
      <c r="C327" s="84" t="s">
        <v>183</v>
      </c>
      <c r="D327" s="84">
        <v>410.40000000000003</v>
      </c>
      <c r="E327" s="84">
        <v>18</v>
      </c>
    </row>
    <row r="328" spans="1:5">
      <c r="A328" s="85">
        <v>35402</v>
      </c>
      <c r="B328" s="84">
        <v>10370</v>
      </c>
      <c r="C328" s="84" t="s">
        <v>191</v>
      </c>
      <c r="D328" s="84">
        <v>135.99999904632568</v>
      </c>
      <c r="E328" s="84">
        <v>20</v>
      </c>
    </row>
    <row r="329" spans="1:5">
      <c r="A329" s="85">
        <v>35402</v>
      </c>
      <c r="B329" s="84">
        <v>10370</v>
      </c>
      <c r="C329" s="84" t="s">
        <v>183</v>
      </c>
      <c r="D329" s="84">
        <v>798</v>
      </c>
      <c r="E329" s="84">
        <v>30</v>
      </c>
    </row>
    <row r="330" spans="1:5">
      <c r="A330" s="85">
        <v>35402</v>
      </c>
      <c r="B330" s="84">
        <v>10370</v>
      </c>
      <c r="C330" s="84" t="s">
        <v>194</v>
      </c>
      <c r="D330" s="84">
        <v>183.59999871253967</v>
      </c>
      <c r="E330" s="84">
        <v>15</v>
      </c>
    </row>
    <row r="331" spans="1:5">
      <c r="A331" s="85">
        <v>35402</v>
      </c>
      <c r="B331" s="84">
        <v>10371</v>
      </c>
      <c r="C331" s="84" t="s">
        <v>193</v>
      </c>
      <c r="D331" s="84">
        <v>72.959999728202817</v>
      </c>
      <c r="E331" s="84">
        <v>6</v>
      </c>
    </row>
    <row r="332" spans="1:5">
      <c r="A332" s="85">
        <v>35403</v>
      </c>
      <c r="B332" s="84">
        <v>10372</v>
      </c>
      <c r="C332" s="84" t="s">
        <v>195</v>
      </c>
      <c r="D332" s="84">
        <v>583.20000000000005</v>
      </c>
      <c r="E332" s="84">
        <v>12</v>
      </c>
    </row>
    <row r="333" spans="1:5">
      <c r="A333" s="85">
        <v>35403</v>
      </c>
      <c r="B333" s="84">
        <v>10372</v>
      </c>
      <c r="C333" s="84" t="s">
        <v>194</v>
      </c>
      <c r="D333" s="84">
        <v>6324</v>
      </c>
      <c r="E333" s="84">
        <v>40</v>
      </c>
    </row>
    <row r="334" spans="1:5">
      <c r="A334" s="85">
        <v>35403</v>
      </c>
      <c r="B334" s="84">
        <v>10372</v>
      </c>
      <c r="C334" s="84" t="s">
        <v>184</v>
      </c>
      <c r="D334" s="84">
        <v>1428</v>
      </c>
      <c r="E334" s="84">
        <v>70</v>
      </c>
    </row>
    <row r="335" spans="1:5">
      <c r="A335" s="85">
        <v>35403</v>
      </c>
      <c r="B335" s="84">
        <v>10372</v>
      </c>
      <c r="C335" s="84" t="s">
        <v>184</v>
      </c>
      <c r="D335" s="84">
        <v>875.69999999999993</v>
      </c>
      <c r="E335" s="84">
        <v>42</v>
      </c>
    </row>
    <row r="336" spans="1:5">
      <c r="A336" s="85">
        <v>35404</v>
      </c>
      <c r="B336" s="84">
        <v>10373</v>
      </c>
      <c r="C336" s="84" t="s">
        <v>193</v>
      </c>
      <c r="D336" s="84">
        <v>678.39999747276306</v>
      </c>
      <c r="E336" s="84">
        <v>80</v>
      </c>
    </row>
    <row r="337" spans="1:5">
      <c r="A337" s="85">
        <v>35404</v>
      </c>
      <c r="B337" s="84">
        <v>10373</v>
      </c>
      <c r="C337" s="84" t="s">
        <v>184</v>
      </c>
      <c r="D337" s="84">
        <v>687.99999743700027</v>
      </c>
      <c r="E337" s="84">
        <v>50</v>
      </c>
    </row>
    <row r="338" spans="1:5">
      <c r="A338" s="85">
        <v>35404</v>
      </c>
      <c r="B338" s="84">
        <v>10374</v>
      </c>
      <c r="C338" s="84" t="s">
        <v>184</v>
      </c>
      <c r="D338" s="84">
        <v>300</v>
      </c>
      <c r="E338" s="84">
        <v>30</v>
      </c>
    </row>
    <row r="339" spans="1:5">
      <c r="A339" s="85">
        <v>35404</v>
      </c>
      <c r="B339" s="84">
        <v>10374</v>
      </c>
      <c r="C339" s="84" t="s">
        <v>193</v>
      </c>
      <c r="D339" s="84">
        <v>159</v>
      </c>
      <c r="E339" s="84">
        <v>15</v>
      </c>
    </row>
    <row r="340" spans="1:5">
      <c r="A340" s="85">
        <v>35405</v>
      </c>
      <c r="B340" s="84">
        <v>10375</v>
      </c>
      <c r="C340" s="84" t="s">
        <v>191</v>
      </c>
      <c r="D340" s="84">
        <v>279</v>
      </c>
      <c r="E340" s="84">
        <v>15</v>
      </c>
    </row>
    <row r="341" spans="1:5">
      <c r="A341" s="85">
        <v>35405</v>
      </c>
      <c r="B341" s="84">
        <v>10375</v>
      </c>
      <c r="C341" s="84" t="s">
        <v>185</v>
      </c>
      <c r="D341" s="84">
        <v>59</v>
      </c>
      <c r="E341" s="84">
        <v>10</v>
      </c>
    </row>
    <row r="342" spans="1:5">
      <c r="A342" s="85">
        <v>35408</v>
      </c>
      <c r="B342" s="84">
        <v>10376</v>
      </c>
      <c r="C342" s="84" t="s">
        <v>184</v>
      </c>
      <c r="D342" s="84">
        <v>398.99999968707561</v>
      </c>
      <c r="E342" s="84">
        <v>42</v>
      </c>
    </row>
    <row r="343" spans="1:5">
      <c r="A343" s="85">
        <v>35408</v>
      </c>
      <c r="B343" s="84">
        <v>10377</v>
      </c>
      <c r="C343" s="84" t="s">
        <v>191</v>
      </c>
      <c r="D343" s="84">
        <v>618.79999566078186</v>
      </c>
      <c r="E343" s="84">
        <v>20</v>
      </c>
    </row>
    <row r="344" spans="1:5">
      <c r="A344" s="85">
        <v>35408</v>
      </c>
      <c r="B344" s="84">
        <v>10377</v>
      </c>
      <c r="C344" s="84" t="s">
        <v>194</v>
      </c>
      <c r="D344" s="84">
        <v>244.79999828338623</v>
      </c>
      <c r="E344" s="84">
        <v>20</v>
      </c>
    </row>
    <row r="345" spans="1:5">
      <c r="A345" s="85">
        <v>35409</v>
      </c>
      <c r="B345" s="84">
        <v>10378</v>
      </c>
      <c r="C345" s="84" t="s">
        <v>184</v>
      </c>
      <c r="D345" s="84">
        <v>103.2</v>
      </c>
      <c r="E345" s="84">
        <v>6</v>
      </c>
    </row>
    <row r="346" spans="1:5">
      <c r="A346" s="85">
        <v>35410</v>
      </c>
      <c r="B346" s="84">
        <v>10379</v>
      </c>
      <c r="C346" s="84" t="s">
        <v>193</v>
      </c>
      <c r="D346" s="84">
        <v>55.439999908208847</v>
      </c>
      <c r="E346" s="84">
        <v>8</v>
      </c>
    </row>
    <row r="347" spans="1:5">
      <c r="A347" s="85">
        <v>35410</v>
      </c>
      <c r="B347" s="84">
        <v>10379</v>
      </c>
      <c r="C347" s="84" t="s">
        <v>196</v>
      </c>
      <c r="D347" s="84">
        <v>505.43999916315079</v>
      </c>
      <c r="E347" s="84">
        <v>16</v>
      </c>
    </row>
    <row r="348" spans="1:5">
      <c r="A348" s="85">
        <v>35410</v>
      </c>
      <c r="B348" s="84">
        <v>10379</v>
      </c>
      <c r="C348" s="84" t="s">
        <v>196</v>
      </c>
      <c r="D348" s="84">
        <v>302.39999949932098</v>
      </c>
      <c r="E348" s="84">
        <v>20</v>
      </c>
    </row>
    <row r="349" spans="1:5">
      <c r="A349" s="85">
        <v>35411</v>
      </c>
      <c r="B349" s="84">
        <v>10380</v>
      </c>
      <c r="C349" s="84" t="s">
        <v>193</v>
      </c>
      <c r="D349" s="84">
        <v>335.33999944478273</v>
      </c>
      <c r="E349" s="84">
        <v>18</v>
      </c>
    </row>
    <row r="350" spans="1:5">
      <c r="A350" s="85">
        <v>35411</v>
      </c>
      <c r="B350" s="84">
        <v>10380</v>
      </c>
      <c r="C350" s="84" t="s">
        <v>185</v>
      </c>
      <c r="D350" s="84">
        <v>471.59999921917915</v>
      </c>
      <c r="E350" s="84">
        <v>20</v>
      </c>
    </row>
    <row r="351" spans="1:5">
      <c r="A351" s="85">
        <v>35411</v>
      </c>
      <c r="B351" s="84">
        <v>10380</v>
      </c>
      <c r="C351" s="84" t="s">
        <v>184</v>
      </c>
      <c r="D351" s="84">
        <v>146.87999975681305</v>
      </c>
      <c r="E351" s="84">
        <v>6</v>
      </c>
    </row>
    <row r="352" spans="1:5">
      <c r="A352" s="85">
        <v>35411</v>
      </c>
      <c r="B352" s="84">
        <v>10380</v>
      </c>
      <c r="C352" s="84" t="s">
        <v>194</v>
      </c>
      <c r="D352" s="84">
        <v>360</v>
      </c>
      <c r="E352" s="84">
        <v>30</v>
      </c>
    </row>
    <row r="353" spans="1:5">
      <c r="A353" s="85">
        <v>35411</v>
      </c>
      <c r="B353" s="84">
        <v>10381</v>
      </c>
      <c r="C353" s="84" t="s">
        <v>191</v>
      </c>
      <c r="D353" s="84">
        <v>112</v>
      </c>
      <c r="E353" s="84">
        <v>14</v>
      </c>
    </row>
    <row r="354" spans="1:5">
      <c r="A354" s="85">
        <v>35412</v>
      </c>
      <c r="B354" s="84">
        <v>10382</v>
      </c>
      <c r="C354" s="84" t="s">
        <v>193</v>
      </c>
      <c r="D354" s="84">
        <v>450</v>
      </c>
      <c r="E354" s="84">
        <v>9</v>
      </c>
    </row>
    <row r="355" spans="1:5">
      <c r="A355" s="85">
        <v>35412</v>
      </c>
      <c r="B355" s="84">
        <v>10382</v>
      </c>
      <c r="C355" s="84" t="s">
        <v>191</v>
      </c>
      <c r="D355" s="84">
        <v>400</v>
      </c>
      <c r="E355" s="84">
        <v>50</v>
      </c>
    </row>
    <row r="356" spans="1:5">
      <c r="A356" s="85">
        <v>35412</v>
      </c>
      <c r="B356" s="84">
        <v>10382</v>
      </c>
      <c r="C356" s="84" t="s">
        <v>196</v>
      </c>
      <c r="D356" s="84">
        <v>544</v>
      </c>
      <c r="E356" s="84">
        <v>32</v>
      </c>
    </row>
    <row r="357" spans="1:5">
      <c r="A357" s="85">
        <v>35412</v>
      </c>
      <c r="B357" s="84">
        <v>10382</v>
      </c>
      <c r="C357" s="84" t="s">
        <v>185</v>
      </c>
      <c r="D357" s="84">
        <v>1386</v>
      </c>
      <c r="E357" s="84">
        <v>14</v>
      </c>
    </row>
    <row r="358" spans="1:5">
      <c r="A358" s="85">
        <v>35412</v>
      </c>
      <c r="B358" s="84">
        <v>10382</v>
      </c>
      <c r="C358" s="84" t="s">
        <v>184</v>
      </c>
      <c r="D358" s="84">
        <v>120</v>
      </c>
      <c r="E358" s="84">
        <v>60</v>
      </c>
    </row>
    <row r="359" spans="1:5">
      <c r="A359" s="85">
        <v>35415</v>
      </c>
      <c r="B359" s="84">
        <v>10383</v>
      </c>
      <c r="C359" s="84" t="s">
        <v>193</v>
      </c>
      <c r="D359" s="84">
        <v>96</v>
      </c>
      <c r="E359" s="84">
        <v>20</v>
      </c>
    </row>
    <row r="360" spans="1:5">
      <c r="A360" s="85">
        <v>35415</v>
      </c>
      <c r="B360" s="84">
        <v>10383</v>
      </c>
      <c r="C360" s="84" t="s">
        <v>195</v>
      </c>
      <c r="D360" s="84">
        <v>195</v>
      </c>
      <c r="E360" s="84">
        <v>15</v>
      </c>
    </row>
    <row r="361" spans="1:5">
      <c r="A361" s="85">
        <v>35415</v>
      </c>
      <c r="B361" s="84">
        <v>10383</v>
      </c>
      <c r="C361" s="84" t="s">
        <v>183</v>
      </c>
      <c r="D361" s="84">
        <v>608</v>
      </c>
      <c r="E361" s="84">
        <v>20</v>
      </c>
    </row>
    <row r="362" spans="1:5">
      <c r="A362" s="85">
        <v>35415</v>
      </c>
      <c r="B362" s="84">
        <v>10384</v>
      </c>
      <c r="C362" s="84" t="s">
        <v>195</v>
      </c>
      <c r="D362" s="84">
        <v>1814.4</v>
      </c>
      <c r="E362" s="84">
        <v>28</v>
      </c>
    </row>
    <row r="363" spans="1:5">
      <c r="A363" s="85">
        <v>35415</v>
      </c>
      <c r="B363" s="84">
        <v>10384</v>
      </c>
      <c r="C363" s="84" t="s">
        <v>184</v>
      </c>
      <c r="D363" s="84">
        <v>408</v>
      </c>
      <c r="E363" s="84">
        <v>15</v>
      </c>
    </row>
    <row r="364" spans="1:5">
      <c r="A364" s="85">
        <v>35416</v>
      </c>
      <c r="B364" s="84">
        <v>10385</v>
      </c>
      <c r="C364" s="84" t="s">
        <v>191</v>
      </c>
      <c r="D364" s="84">
        <v>191.99999928474426</v>
      </c>
      <c r="E364" s="84">
        <v>10</v>
      </c>
    </row>
    <row r="365" spans="1:5">
      <c r="A365" s="85">
        <v>35416</v>
      </c>
      <c r="B365" s="84">
        <v>10385</v>
      </c>
      <c r="C365" s="84" t="s">
        <v>184</v>
      </c>
      <c r="D365" s="84">
        <v>435.19999837875366</v>
      </c>
      <c r="E365" s="84">
        <v>20</v>
      </c>
    </row>
    <row r="366" spans="1:5">
      <c r="A366" s="85">
        <v>35416</v>
      </c>
      <c r="B366" s="84">
        <v>10385</v>
      </c>
      <c r="C366" s="84" t="s">
        <v>195</v>
      </c>
      <c r="D366" s="84">
        <v>63.999999761581421</v>
      </c>
      <c r="E366" s="84">
        <v>8</v>
      </c>
    </row>
    <row r="367" spans="1:5">
      <c r="A367" s="85">
        <v>35417</v>
      </c>
      <c r="B367" s="84">
        <v>10386</v>
      </c>
      <c r="C367" s="84" t="s">
        <v>194</v>
      </c>
      <c r="D367" s="84">
        <v>112</v>
      </c>
      <c r="E367" s="84">
        <v>10</v>
      </c>
    </row>
    <row r="368" spans="1:5">
      <c r="A368" s="85">
        <v>35417</v>
      </c>
      <c r="B368" s="84">
        <v>10386</v>
      </c>
      <c r="C368" s="84" t="s">
        <v>194</v>
      </c>
      <c r="D368" s="84">
        <v>54</v>
      </c>
      <c r="E368" s="84">
        <v>15</v>
      </c>
    </row>
    <row r="369" spans="1:5">
      <c r="A369" s="85">
        <v>35417</v>
      </c>
      <c r="B369" s="84">
        <v>10387</v>
      </c>
      <c r="C369" s="84" t="s">
        <v>184</v>
      </c>
      <c r="D369" s="84">
        <v>258</v>
      </c>
      <c r="E369" s="84">
        <v>15</v>
      </c>
    </row>
    <row r="370" spans="1:5">
      <c r="A370" s="85">
        <v>35417</v>
      </c>
      <c r="B370" s="84">
        <v>10387</v>
      </c>
      <c r="C370" s="84" t="s">
        <v>184</v>
      </c>
      <c r="D370" s="84">
        <v>528</v>
      </c>
      <c r="E370" s="84">
        <v>12</v>
      </c>
    </row>
    <row r="371" spans="1:5">
      <c r="A371" s="85">
        <v>35417</v>
      </c>
      <c r="B371" s="84">
        <v>10387</v>
      </c>
      <c r="C371" s="84" t="s">
        <v>194</v>
      </c>
      <c r="D371" s="84">
        <v>54</v>
      </c>
      <c r="E371" s="84">
        <v>15</v>
      </c>
    </row>
    <row r="372" spans="1:5">
      <c r="A372" s="85">
        <v>35417</v>
      </c>
      <c r="B372" s="84">
        <v>10387</v>
      </c>
      <c r="C372" s="84" t="s">
        <v>191</v>
      </c>
      <c r="D372" s="84">
        <v>218.4</v>
      </c>
      <c r="E372" s="84">
        <v>6</v>
      </c>
    </row>
    <row r="373" spans="1:5">
      <c r="A373" s="85">
        <v>35418</v>
      </c>
      <c r="B373" s="84">
        <v>10388</v>
      </c>
      <c r="C373" s="84" t="s">
        <v>193</v>
      </c>
      <c r="D373" s="84">
        <v>91.199999660253525</v>
      </c>
      <c r="E373" s="84">
        <v>15</v>
      </c>
    </row>
    <row r="374" spans="1:5">
      <c r="A374" s="85">
        <v>35418</v>
      </c>
      <c r="B374" s="84">
        <v>10388</v>
      </c>
      <c r="C374" s="84" t="s">
        <v>183</v>
      </c>
      <c r="D374" s="84">
        <v>89.599999666213989</v>
      </c>
      <c r="E374" s="84">
        <v>20</v>
      </c>
    </row>
    <row r="375" spans="1:5">
      <c r="A375" s="85">
        <v>35418</v>
      </c>
      <c r="B375" s="84">
        <v>10388</v>
      </c>
      <c r="C375" s="84" t="s">
        <v>185</v>
      </c>
      <c r="D375" s="84">
        <v>1048</v>
      </c>
      <c r="E375" s="84">
        <v>40</v>
      </c>
    </row>
    <row r="376" spans="1:5">
      <c r="A376" s="85">
        <v>35419</v>
      </c>
      <c r="B376" s="84">
        <v>10389</v>
      </c>
      <c r="C376" s="84" t="s">
        <v>193</v>
      </c>
      <c r="D376" s="84">
        <v>396.8</v>
      </c>
      <c r="E376" s="84">
        <v>16</v>
      </c>
    </row>
    <row r="377" spans="1:5">
      <c r="A377" s="85">
        <v>35419</v>
      </c>
      <c r="B377" s="84">
        <v>10389</v>
      </c>
      <c r="C377" s="84" t="s">
        <v>185</v>
      </c>
      <c r="D377" s="84">
        <v>288</v>
      </c>
      <c r="E377" s="84">
        <v>15</v>
      </c>
    </row>
    <row r="378" spans="1:5">
      <c r="A378" s="85">
        <v>35419</v>
      </c>
      <c r="B378" s="84">
        <v>10389</v>
      </c>
      <c r="C378" s="84" t="s">
        <v>195</v>
      </c>
      <c r="D378" s="84">
        <v>788</v>
      </c>
      <c r="E378" s="84">
        <v>20</v>
      </c>
    </row>
    <row r="379" spans="1:5">
      <c r="A379" s="85">
        <v>35419</v>
      </c>
      <c r="B379" s="84">
        <v>10389</v>
      </c>
      <c r="C379" s="84" t="s">
        <v>194</v>
      </c>
      <c r="D379" s="84">
        <v>360</v>
      </c>
      <c r="E379" s="84">
        <v>30</v>
      </c>
    </row>
    <row r="380" spans="1:5">
      <c r="A380" s="85">
        <v>35422</v>
      </c>
      <c r="B380" s="84">
        <v>10390</v>
      </c>
      <c r="C380" s="84" t="s">
        <v>184</v>
      </c>
      <c r="D380" s="84">
        <v>539.99999910593033</v>
      </c>
      <c r="E380" s="84">
        <v>60</v>
      </c>
    </row>
    <row r="381" spans="1:5">
      <c r="A381" s="85">
        <v>35422</v>
      </c>
      <c r="B381" s="84">
        <v>10390</v>
      </c>
      <c r="C381" s="84" t="s">
        <v>184</v>
      </c>
      <c r="D381" s="84">
        <v>600.47999900579453</v>
      </c>
      <c r="E381" s="84">
        <v>24</v>
      </c>
    </row>
    <row r="382" spans="1:5">
      <c r="A382" s="85">
        <v>35422</v>
      </c>
      <c r="B382" s="84">
        <v>10390</v>
      </c>
      <c r="C382" s="84" t="s">
        <v>193</v>
      </c>
      <c r="D382" s="84">
        <v>432</v>
      </c>
      <c r="E382" s="84">
        <v>45</v>
      </c>
    </row>
    <row r="383" spans="1:5">
      <c r="A383" s="85">
        <v>35422</v>
      </c>
      <c r="B383" s="84">
        <v>10390</v>
      </c>
      <c r="C383" s="84" t="s">
        <v>194</v>
      </c>
      <c r="D383" s="84">
        <v>518.39999914169312</v>
      </c>
      <c r="E383" s="84">
        <v>40</v>
      </c>
    </row>
    <row r="384" spans="1:5">
      <c r="A384" s="85">
        <v>35422</v>
      </c>
      <c r="B384" s="84">
        <v>10391</v>
      </c>
      <c r="C384" s="84" t="s">
        <v>193</v>
      </c>
      <c r="D384" s="84">
        <v>86.4</v>
      </c>
      <c r="E384" s="84">
        <v>18</v>
      </c>
    </row>
    <row r="385" spans="1:5">
      <c r="A385" s="85">
        <v>35423</v>
      </c>
      <c r="B385" s="84">
        <v>10392</v>
      </c>
      <c r="C385" s="84" t="s">
        <v>184</v>
      </c>
      <c r="D385" s="84">
        <v>1440</v>
      </c>
      <c r="E385" s="84">
        <v>50</v>
      </c>
    </row>
    <row r="386" spans="1:5">
      <c r="A386" s="85">
        <v>35424</v>
      </c>
      <c r="B386" s="84">
        <v>10393</v>
      </c>
      <c r="C386" s="84" t="s">
        <v>194</v>
      </c>
      <c r="D386" s="84">
        <v>285</v>
      </c>
      <c r="E386" s="84">
        <v>25</v>
      </c>
    </row>
    <row r="387" spans="1:5">
      <c r="A387" s="85">
        <v>35424</v>
      </c>
      <c r="B387" s="84">
        <v>10393</v>
      </c>
      <c r="C387" s="84" t="s">
        <v>191</v>
      </c>
      <c r="D387" s="84">
        <v>585.90000000000009</v>
      </c>
      <c r="E387" s="84">
        <v>42</v>
      </c>
    </row>
    <row r="388" spans="1:5">
      <c r="A388" s="85">
        <v>35424</v>
      </c>
      <c r="B388" s="84">
        <v>10393</v>
      </c>
      <c r="C388" s="84" t="s">
        <v>195</v>
      </c>
      <c r="D388" s="84">
        <v>58.800000000000004</v>
      </c>
      <c r="E388" s="84">
        <v>7</v>
      </c>
    </row>
    <row r="389" spans="1:5">
      <c r="A389" s="85">
        <v>35424</v>
      </c>
      <c r="B389" s="84">
        <v>10393</v>
      </c>
      <c r="C389" s="84" t="s">
        <v>195</v>
      </c>
      <c r="D389" s="84">
        <v>1307.25</v>
      </c>
      <c r="E389" s="84">
        <v>70</v>
      </c>
    </row>
    <row r="390" spans="1:5">
      <c r="A390" s="85">
        <v>35424</v>
      </c>
      <c r="B390" s="84">
        <v>10393</v>
      </c>
      <c r="C390" s="84" t="s">
        <v>184</v>
      </c>
      <c r="D390" s="84">
        <v>320</v>
      </c>
      <c r="E390" s="84">
        <v>32</v>
      </c>
    </row>
    <row r="391" spans="1:5">
      <c r="A391" s="85">
        <v>35424</v>
      </c>
      <c r="B391" s="84">
        <v>10394</v>
      </c>
      <c r="C391" s="84" t="s">
        <v>193</v>
      </c>
      <c r="D391" s="84">
        <v>48</v>
      </c>
      <c r="E391" s="84">
        <v>10</v>
      </c>
    </row>
    <row r="392" spans="1:5">
      <c r="A392" s="85">
        <v>35424</v>
      </c>
      <c r="B392" s="84">
        <v>10394</v>
      </c>
      <c r="C392" s="84" t="s">
        <v>195</v>
      </c>
      <c r="D392" s="84">
        <v>394</v>
      </c>
      <c r="E392" s="84">
        <v>10</v>
      </c>
    </row>
    <row r="393" spans="1:5">
      <c r="A393" s="85">
        <v>35425</v>
      </c>
      <c r="B393" s="84">
        <v>10395</v>
      </c>
      <c r="C393" s="84" t="s">
        <v>193</v>
      </c>
      <c r="D393" s="84">
        <v>241.91999959945679</v>
      </c>
      <c r="E393" s="84">
        <v>28</v>
      </c>
    </row>
    <row r="394" spans="1:5">
      <c r="A394" s="85">
        <v>35425</v>
      </c>
      <c r="B394" s="84">
        <v>10395</v>
      </c>
      <c r="C394" s="84" t="s">
        <v>185</v>
      </c>
      <c r="D394" s="84">
        <v>1650.599997267127</v>
      </c>
      <c r="E394" s="84">
        <v>70</v>
      </c>
    </row>
    <row r="395" spans="1:5">
      <c r="A395" s="85">
        <v>35425</v>
      </c>
      <c r="B395" s="84">
        <v>10395</v>
      </c>
      <c r="C395" s="84" t="s">
        <v>184</v>
      </c>
      <c r="D395" s="84">
        <v>230.4</v>
      </c>
      <c r="E395" s="84">
        <v>8</v>
      </c>
    </row>
    <row r="396" spans="1:5">
      <c r="A396" s="85">
        <v>35426</v>
      </c>
      <c r="B396" s="84">
        <v>10396</v>
      </c>
      <c r="C396" s="84" t="s">
        <v>183</v>
      </c>
      <c r="D396" s="84">
        <v>288</v>
      </c>
      <c r="E396" s="84">
        <v>40</v>
      </c>
    </row>
    <row r="397" spans="1:5">
      <c r="A397" s="85">
        <v>35426</v>
      </c>
      <c r="B397" s="84">
        <v>10396</v>
      </c>
      <c r="C397" s="84" t="s">
        <v>184</v>
      </c>
      <c r="D397" s="84">
        <v>1032</v>
      </c>
      <c r="E397" s="84">
        <v>60</v>
      </c>
    </row>
    <row r="398" spans="1:5">
      <c r="A398" s="85">
        <v>35426</v>
      </c>
      <c r="B398" s="84">
        <v>10396</v>
      </c>
      <c r="C398" s="84" t="s">
        <v>184</v>
      </c>
      <c r="D398" s="84">
        <v>583.79999999999995</v>
      </c>
      <c r="E398" s="84">
        <v>21</v>
      </c>
    </row>
    <row r="399" spans="1:5">
      <c r="A399" s="85">
        <v>35426</v>
      </c>
      <c r="B399" s="84">
        <v>10397</v>
      </c>
      <c r="C399" s="84" t="s">
        <v>195</v>
      </c>
      <c r="D399" s="84">
        <v>67.999999523162842</v>
      </c>
      <c r="E399" s="84">
        <v>10</v>
      </c>
    </row>
    <row r="400" spans="1:5">
      <c r="A400" s="85">
        <v>35426</v>
      </c>
      <c r="B400" s="84">
        <v>10397</v>
      </c>
      <c r="C400" s="84" t="s">
        <v>191</v>
      </c>
      <c r="D400" s="84">
        <v>648.71999545097356</v>
      </c>
      <c r="E400" s="84">
        <v>18</v>
      </c>
    </row>
    <row r="401" spans="1:5">
      <c r="A401" s="85">
        <v>35429</v>
      </c>
      <c r="B401" s="84">
        <v>10398</v>
      </c>
      <c r="C401" s="84" t="s">
        <v>194</v>
      </c>
      <c r="D401" s="84">
        <v>432</v>
      </c>
      <c r="E401" s="84">
        <v>30</v>
      </c>
    </row>
    <row r="402" spans="1:5">
      <c r="A402" s="85">
        <v>35429</v>
      </c>
      <c r="B402" s="84">
        <v>10398</v>
      </c>
      <c r="C402" s="84" t="s">
        <v>185</v>
      </c>
      <c r="D402" s="84">
        <v>2073.5999965667725</v>
      </c>
      <c r="E402" s="84">
        <v>120</v>
      </c>
    </row>
    <row r="403" spans="1:5">
      <c r="A403" s="85">
        <v>35430</v>
      </c>
      <c r="B403" s="84">
        <v>10399</v>
      </c>
      <c r="C403" s="84" t="s">
        <v>196</v>
      </c>
      <c r="D403" s="84">
        <v>145.6</v>
      </c>
      <c r="E403" s="84">
        <v>14</v>
      </c>
    </row>
    <row r="404" spans="1:5">
      <c r="A404" s="85">
        <v>35430</v>
      </c>
      <c r="B404" s="84">
        <v>10399</v>
      </c>
      <c r="C404" s="84" t="s">
        <v>195</v>
      </c>
      <c r="D404" s="84">
        <v>600</v>
      </c>
      <c r="E404" s="84">
        <v>60</v>
      </c>
    </row>
    <row r="405" spans="1:5">
      <c r="A405" s="85">
        <v>35430</v>
      </c>
      <c r="B405" s="84">
        <v>10399</v>
      </c>
      <c r="C405" s="84" t="s">
        <v>184</v>
      </c>
      <c r="D405" s="84">
        <v>516</v>
      </c>
      <c r="E405" s="84">
        <v>30</v>
      </c>
    </row>
    <row r="406" spans="1:5">
      <c r="A406" s="85">
        <v>35430</v>
      </c>
      <c r="B406" s="84">
        <v>10399</v>
      </c>
      <c r="C406" s="84" t="s">
        <v>194</v>
      </c>
      <c r="D406" s="84">
        <v>504</v>
      </c>
      <c r="E406" s="84">
        <v>35</v>
      </c>
    </row>
    <row r="410" spans="1:5">
      <c r="A410" s="94" t="s">
        <v>178</v>
      </c>
      <c r="B410" s="94" t="s">
        <v>179</v>
      </c>
      <c r="C410" s="94" t="s">
        <v>180</v>
      </c>
      <c r="D410" s="94" t="s">
        <v>181</v>
      </c>
      <c r="E410" s="94" t="s">
        <v>182</v>
      </c>
    </row>
    <row r="411" spans="1:5">
      <c r="A411" s="95" t="s">
        <v>199</v>
      </c>
      <c r="B411" s="96" t="s">
        <v>199</v>
      </c>
      <c r="C411" s="96" t="s">
        <v>199</v>
      </c>
      <c r="D411" s="96" t="s">
        <v>199</v>
      </c>
      <c r="E411" s="96" t="s">
        <v>199</v>
      </c>
    </row>
    <row r="412" spans="1:5">
      <c r="A412" s="97" t="s">
        <v>200</v>
      </c>
      <c r="B412" s="98" t="s">
        <v>199</v>
      </c>
      <c r="C412" s="98" t="s">
        <v>201</v>
      </c>
      <c r="D412" s="98" t="s">
        <v>201</v>
      </c>
      <c r="E412" s="98" t="s">
        <v>200</v>
      </c>
    </row>
    <row r="413" spans="1:5">
      <c r="A413" s="95" t="s">
        <v>199</v>
      </c>
      <c r="B413" s="96" t="s">
        <v>201</v>
      </c>
      <c r="C413" s="96" t="s">
        <v>199</v>
      </c>
      <c r="D413" s="96" t="s">
        <v>199</v>
      </c>
      <c r="E413" s="96" t="s">
        <v>199</v>
      </c>
    </row>
    <row r="414" spans="1:5">
      <c r="A414" s="97" t="s">
        <v>199</v>
      </c>
      <c r="B414" s="98" t="s">
        <v>200</v>
      </c>
      <c r="C414" s="98" t="s">
        <v>199</v>
      </c>
      <c r="D414" s="98" t="s">
        <v>202</v>
      </c>
      <c r="E414" s="98" t="s">
        <v>200</v>
      </c>
    </row>
    <row r="415" spans="1:5">
      <c r="A415" s="95" t="s">
        <v>199</v>
      </c>
      <c r="B415" s="96" t="s">
        <v>200</v>
      </c>
      <c r="C415" s="96" t="s">
        <v>199</v>
      </c>
      <c r="D415" s="96" t="s">
        <v>199</v>
      </c>
      <c r="E415" s="96" t="s">
        <v>199</v>
      </c>
    </row>
  </sheetData>
  <phoneticPr fontId="9" type="noConversion"/>
  <pageMargins left="0.7" right="0.7" top="0.75" bottom="0.75" header="0.3" footer="0.3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285"/>
  <sheetViews>
    <sheetView topLeftCell="D13" workbookViewId="0">
      <selection activeCell="K21" sqref="K21"/>
    </sheetView>
  </sheetViews>
  <sheetFormatPr defaultRowHeight="13.5"/>
  <sheetData>
    <row r="1" spans="1:14" ht="15.75">
      <c r="A1" s="3" t="s">
        <v>30</v>
      </c>
      <c r="B1" s="3" t="s">
        <v>0</v>
      </c>
      <c r="C1" s="3" t="s">
        <v>66</v>
      </c>
      <c r="D1" s="3" t="s">
        <v>67</v>
      </c>
      <c r="E1" s="3" t="s">
        <v>68</v>
      </c>
      <c r="F1" s="3" t="s">
        <v>69</v>
      </c>
      <c r="G1" s="3" t="s">
        <v>70</v>
      </c>
      <c r="H1" s="3" t="s">
        <v>71</v>
      </c>
      <c r="I1" s="53"/>
      <c r="J1" s="128" t="s">
        <v>72</v>
      </c>
      <c r="N1" s="126">
        <v>3</v>
      </c>
    </row>
    <row r="2" spans="1:14" ht="15.75">
      <c r="A2" s="4">
        <v>1</v>
      </c>
      <c r="B2" s="3" t="s">
        <v>1</v>
      </c>
      <c r="C2" s="3" t="s">
        <v>31</v>
      </c>
      <c r="D2" s="3" t="s">
        <v>2</v>
      </c>
      <c r="E2" s="3">
        <v>1.5</v>
      </c>
      <c r="F2" s="3" t="s">
        <v>73</v>
      </c>
      <c r="G2" s="3" t="s">
        <v>74</v>
      </c>
      <c r="H2" s="3">
        <v>5800</v>
      </c>
      <c r="I2" s="53"/>
      <c r="J2" s="127" t="s">
        <v>75</v>
      </c>
      <c r="N2" s="2" t="str">
        <f>INDEX(J7:J16,N1)</f>
        <v>计算机</v>
      </c>
    </row>
    <row r="3" spans="1:14" ht="15.75">
      <c r="A3" s="4">
        <v>2</v>
      </c>
      <c r="B3" s="3" t="s">
        <v>1</v>
      </c>
      <c r="C3" s="3" t="s">
        <v>31</v>
      </c>
      <c r="D3" s="3" t="s">
        <v>8</v>
      </c>
      <c r="E3" s="3">
        <v>2.2999999999999998</v>
      </c>
      <c r="F3" s="3" t="s">
        <v>76</v>
      </c>
      <c r="G3" s="3" t="s">
        <v>74</v>
      </c>
      <c r="H3" s="3">
        <v>6600</v>
      </c>
      <c r="I3" s="53"/>
    </row>
    <row r="4" spans="1:14" ht="15.75">
      <c r="A4" s="4">
        <v>3</v>
      </c>
      <c r="B4" s="3" t="s">
        <v>1</v>
      </c>
      <c r="C4" s="3" t="s">
        <v>31</v>
      </c>
      <c r="D4" s="3" t="s">
        <v>3</v>
      </c>
      <c r="E4" s="3">
        <v>2.1</v>
      </c>
      <c r="F4" s="3" t="s">
        <v>3</v>
      </c>
      <c r="G4" s="3" t="s">
        <v>77</v>
      </c>
      <c r="H4" s="3">
        <v>6000</v>
      </c>
      <c r="I4" s="53"/>
      <c r="J4" s="128" t="s">
        <v>78</v>
      </c>
      <c r="K4" s="7">
        <f>DAVERAGE(A1:H285,H1,J1:J2)</f>
        <v>6500</v>
      </c>
    </row>
    <row r="5" spans="1:14" ht="15.75">
      <c r="A5" s="4">
        <v>4</v>
      </c>
      <c r="B5" s="3" t="s">
        <v>1</v>
      </c>
      <c r="C5" s="3" t="s">
        <v>31</v>
      </c>
      <c r="D5" s="3" t="s">
        <v>3</v>
      </c>
      <c r="E5" s="3">
        <v>3</v>
      </c>
      <c r="F5" s="3" t="s">
        <v>3</v>
      </c>
      <c r="G5" s="3" t="s">
        <v>77</v>
      </c>
      <c r="H5" s="3">
        <v>7100</v>
      </c>
      <c r="I5" s="53"/>
    </row>
    <row r="6" spans="1:14" ht="15.75">
      <c r="A6" s="4">
        <v>5</v>
      </c>
      <c r="B6" s="3" t="s">
        <v>4</v>
      </c>
      <c r="C6" s="3" t="s">
        <v>31</v>
      </c>
      <c r="D6" s="3" t="s">
        <v>5</v>
      </c>
      <c r="E6" s="3">
        <v>3.4</v>
      </c>
      <c r="F6" s="3" t="s">
        <v>5</v>
      </c>
      <c r="G6" s="3" t="s">
        <v>79</v>
      </c>
      <c r="H6" s="3">
        <v>7700</v>
      </c>
      <c r="I6" s="53"/>
      <c r="K6" s="7">
        <f>K4</f>
        <v>6500</v>
      </c>
    </row>
    <row r="7" spans="1:14" ht="15.75">
      <c r="A7" s="4">
        <v>6</v>
      </c>
      <c r="B7" s="3" t="s">
        <v>1</v>
      </c>
      <c r="C7" s="3" t="s">
        <v>31</v>
      </c>
      <c r="D7" s="3" t="s">
        <v>12</v>
      </c>
      <c r="E7" s="3">
        <v>1.7</v>
      </c>
      <c r="F7" s="3" t="s">
        <v>80</v>
      </c>
      <c r="G7" s="3" t="s">
        <v>79</v>
      </c>
      <c r="H7" s="3">
        <v>6000</v>
      </c>
      <c r="I7" s="53"/>
      <c r="J7" s="120" t="s">
        <v>75</v>
      </c>
      <c r="K7" s="123">
        <v>6500</v>
      </c>
      <c r="L7" s="117">
        <f t="shared" ref="L7:L16" si="0">IF(J7=$N$2,K7,0)</f>
        <v>0</v>
      </c>
    </row>
    <row r="8" spans="1:14" ht="15.75">
      <c r="A8" s="4">
        <v>7</v>
      </c>
      <c r="B8" s="3" t="s">
        <v>4</v>
      </c>
      <c r="C8" s="3" t="s">
        <v>31</v>
      </c>
      <c r="D8" s="3" t="s">
        <v>13</v>
      </c>
      <c r="E8" s="3">
        <v>1.5</v>
      </c>
      <c r="F8" s="3" t="s">
        <v>76</v>
      </c>
      <c r="G8" s="3" t="s">
        <v>79</v>
      </c>
      <c r="H8" s="3">
        <v>9000</v>
      </c>
      <c r="I8" s="53"/>
      <c r="J8" s="121" t="s">
        <v>81</v>
      </c>
      <c r="K8" s="124">
        <v>7000</v>
      </c>
      <c r="L8" s="118">
        <f t="shared" si="0"/>
        <v>0</v>
      </c>
    </row>
    <row r="9" spans="1:14" ht="15.75">
      <c r="A9" s="4">
        <v>8</v>
      </c>
      <c r="B9" s="3" t="s">
        <v>4</v>
      </c>
      <c r="C9" s="3" t="s">
        <v>31</v>
      </c>
      <c r="D9" s="3" t="s">
        <v>6</v>
      </c>
      <c r="E9" s="3">
        <v>3.1</v>
      </c>
      <c r="F9" s="3" t="s">
        <v>80</v>
      </c>
      <c r="G9" s="3" t="s">
        <v>82</v>
      </c>
      <c r="H9" s="3">
        <v>7000</v>
      </c>
      <c r="I9" s="53"/>
      <c r="J9" s="121" t="s">
        <v>36</v>
      </c>
      <c r="K9" s="124">
        <v>6815.6862745098042</v>
      </c>
      <c r="L9" s="118">
        <f t="shared" si="0"/>
        <v>6815.6862745098042</v>
      </c>
    </row>
    <row r="10" spans="1:14" ht="15.75">
      <c r="A10" s="4">
        <v>9</v>
      </c>
      <c r="B10" s="3" t="s">
        <v>4</v>
      </c>
      <c r="C10" s="3" t="s">
        <v>31</v>
      </c>
      <c r="D10" s="3" t="s">
        <v>7</v>
      </c>
      <c r="E10" s="3">
        <v>2.9</v>
      </c>
      <c r="F10" s="3" t="s">
        <v>7</v>
      </c>
      <c r="G10" s="3" t="s">
        <v>82</v>
      </c>
      <c r="H10" s="3">
        <v>6600</v>
      </c>
      <c r="I10" s="53"/>
      <c r="J10" s="121" t="s">
        <v>83</v>
      </c>
      <c r="K10" s="124">
        <v>6936.95652173913</v>
      </c>
      <c r="L10" s="118">
        <f t="shared" si="0"/>
        <v>0</v>
      </c>
    </row>
    <row r="11" spans="1:14" ht="15.75">
      <c r="A11" s="4">
        <v>10</v>
      </c>
      <c r="B11" s="3" t="s">
        <v>4</v>
      </c>
      <c r="C11" s="3" t="s">
        <v>31</v>
      </c>
      <c r="D11" s="3" t="s">
        <v>8</v>
      </c>
      <c r="E11" s="3">
        <v>3.7</v>
      </c>
      <c r="F11" s="3" t="s">
        <v>8</v>
      </c>
      <c r="G11" s="3" t="s">
        <v>82</v>
      </c>
      <c r="H11" s="3">
        <v>7800</v>
      </c>
      <c r="I11" s="53"/>
      <c r="J11" s="121" t="s">
        <v>84</v>
      </c>
      <c r="K11" s="124">
        <v>7242.1875</v>
      </c>
      <c r="L11" s="118">
        <f t="shared" si="0"/>
        <v>0</v>
      </c>
    </row>
    <row r="12" spans="1:14" ht="15.75">
      <c r="A12" s="4">
        <v>11</v>
      </c>
      <c r="B12" s="3" t="s">
        <v>4</v>
      </c>
      <c r="C12" s="3" t="s">
        <v>31</v>
      </c>
      <c r="D12" s="3" t="s">
        <v>9</v>
      </c>
      <c r="E12" s="3">
        <v>2.4</v>
      </c>
      <c r="F12" s="3" t="s">
        <v>76</v>
      </c>
      <c r="G12" s="3" t="s">
        <v>85</v>
      </c>
      <c r="H12" s="3">
        <v>6800</v>
      </c>
      <c r="I12" s="53"/>
      <c r="J12" s="121" t="s">
        <v>86</v>
      </c>
      <c r="K12" s="124">
        <v>7020.588235294118</v>
      </c>
      <c r="L12" s="118">
        <f t="shared" si="0"/>
        <v>0</v>
      </c>
    </row>
    <row r="13" spans="1:14" ht="15.75">
      <c r="A13" s="4">
        <v>12</v>
      </c>
      <c r="B13" s="3" t="s">
        <v>1</v>
      </c>
      <c r="C13" s="3" t="s">
        <v>31</v>
      </c>
      <c r="D13" s="3" t="s">
        <v>5</v>
      </c>
      <c r="E13" s="3">
        <v>3.1</v>
      </c>
      <c r="F13" s="3" t="s">
        <v>80</v>
      </c>
      <c r="G13" s="3" t="s">
        <v>82</v>
      </c>
      <c r="H13" s="3">
        <v>7300</v>
      </c>
      <c r="I13" s="53"/>
      <c r="J13" s="121" t="s">
        <v>87</v>
      </c>
      <c r="K13" s="124">
        <v>7320</v>
      </c>
      <c r="L13" s="118">
        <f t="shared" si="0"/>
        <v>0</v>
      </c>
    </row>
    <row r="14" spans="1:14" ht="15.75">
      <c r="A14" s="4">
        <v>13</v>
      </c>
      <c r="B14" s="3" t="s">
        <v>4</v>
      </c>
      <c r="C14" s="3" t="s">
        <v>31</v>
      </c>
      <c r="D14" s="3" t="s">
        <v>10</v>
      </c>
      <c r="E14" s="3">
        <v>2.8</v>
      </c>
      <c r="F14" s="3" t="s">
        <v>10</v>
      </c>
      <c r="G14" s="3" t="s">
        <v>82</v>
      </c>
      <c r="H14" s="3">
        <v>7200</v>
      </c>
      <c r="I14" s="53"/>
      <c r="J14" s="121" t="s">
        <v>88</v>
      </c>
      <c r="K14" s="124">
        <v>6275</v>
      </c>
      <c r="L14" s="118">
        <f t="shared" si="0"/>
        <v>0</v>
      </c>
    </row>
    <row r="15" spans="1:14" ht="15.75">
      <c r="A15" s="4">
        <v>14</v>
      </c>
      <c r="B15" s="3" t="s">
        <v>4</v>
      </c>
      <c r="C15" s="3" t="s">
        <v>31</v>
      </c>
      <c r="D15" s="3" t="s">
        <v>11</v>
      </c>
      <c r="E15" s="3">
        <v>3.7</v>
      </c>
      <c r="F15" s="3" t="s">
        <v>11</v>
      </c>
      <c r="G15" s="3" t="s">
        <v>85</v>
      </c>
      <c r="H15" s="3">
        <v>7300</v>
      </c>
      <c r="I15" s="53"/>
      <c r="J15" s="121" t="s">
        <v>89</v>
      </c>
      <c r="K15" s="124">
        <v>6780</v>
      </c>
      <c r="L15" s="118">
        <f t="shared" si="0"/>
        <v>0</v>
      </c>
    </row>
    <row r="16" spans="1:14" ht="15.75">
      <c r="A16" s="4">
        <v>15</v>
      </c>
      <c r="B16" s="3" t="s">
        <v>4</v>
      </c>
      <c r="C16" s="3" t="s">
        <v>31</v>
      </c>
      <c r="D16" s="3" t="s">
        <v>2</v>
      </c>
      <c r="E16" s="3">
        <v>3.7</v>
      </c>
      <c r="F16" s="3" t="s">
        <v>80</v>
      </c>
      <c r="G16" s="3" t="s">
        <v>90</v>
      </c>
      <c r="H16" s="3">
        <v>7600</v>
      </c>
      <c r="I16" s="53"/>
      <c r="J16" s="122" t="s">
        <v>91</v>
      </c>
      <c r="K16" s="125">
        <v>6554.347826086957</v>
      </c>
      <c r="L16" s="119">
        <f t="shared" si="0"/>
        <v>0</v>
      </c>
    </row>
    <row r="17" spans="1:9" ht="15.75">
      <c r="A17" s="4">
        <v>16</v>
      </c>
      <c r="B17" s="3" t="s">
        <v>1</v>
      </c>
      <c r="C17" s="3" t="s">
        <v>31</v>
      </c>
      <c r="D17" s="3" t="s">
        <v>3</v>
      </c>
      <c r="E17" s="3">
        <v>1.5</v>
      </c>
      <c r="F17" s="3" t="s">
        <v>3</v>
      </c>
      <c r="G17" s="3" t="s">
        <v>90</v>
      </c>
      <c r="H17" s="3">
        <v>5900</v>
      </c>
      <c r="I17" s="53"/>
    </row>
    <row r="18" spans="1:9" ht="15.75">
      <c r="A18" s="4">
        <v>17</v>
      </c>
      <c r="B18" s="3" t="s">
        <v>4</v>
      </c>
      <c r="C18" s="3" t="s">
        <v>31</v>
      </c>
      <c r="D18" s="3" t="s">
        <v>14</v>
      </c>
      <c r="E18" s="3">
        <v>3.4</v>
      </c>
      <c r="F18" s="3" t="s">
        <v>92</v>
      </c>
      <c r="G18" s="3" t="s">
        <v>90</v>
      </c>
      <c r="H18" s="3">
        <v>7500</v>
      </c>
      <c r="I18" s="53"/>
    </row>
    <row r="19" spans="1:9" ht="15.75">
      <c r="A19" s="4">
        <v>18</v>
      </c>
      <c r="B19" s="3" t="s">
        <v>4</v>
      </c>
      <c r="C19" s="3" t="s">
        <v>31</v>
      </c>
      <c r="D19" s="3" t="s">
        <v>5</v>
      </c>
      <c r="E19" s="3">
        <v>3.7</v>
      </c>
      <c r="F19" s="3" t="s">
        <v>76</v>
      </c>
      <c r="G19" s="3" t="s">
        <v>90</v>
      </c>
      <c r="H19" s="3">
        <v>7000</v>
      </c>
      <c r="I19" s="53"/>
    </row>
    <row r="20" spans="1:9" ht="15.75">
      <c r="A20" s="4">
        <v>19</v>
      </c>
      <c r="B20" s="3" t="s">
        <v>1</v>
      </c>
      <c r="C20" s="3" t="s">
        <v>31</v>
      </c>
      <c r="D20" s="3" t="s">
        <v>15</v>
      </c>
      <c r="E20" s="3">
        <v>2.2000000000000002</v>
      </c>
      <c r="F20" s="3" t="s">
        <v>15</v>
      </c>
      <c r="G20" s="3" t="s">
        <v>90</v>
      </c>
      <c r="H20" s="3">
        <v>6700</v>
      </c>
      <c r="I20" s="53"/>
    </row>
    <row r="21" spans="1:9" ht="15.75">
      <c r="A21" s="4">
        <v>20</v>
      </c>
      <c r="B21" s="3" t="s">
        <v>1</v>
      </c>
      <c r="C21" s="3" t="s">
        <v>31</v>
      </c>
      <c r="D21" s="3" t="s">
        <v>8</v>
      </c>
      <c r="E21" s="3">
        <v>3.7</v>
      </c>
      <c r="F21" s="3" t="s">
        <v>8</v>
      </c>
      <c r="G21" s="3" t="s">
        <v>90</v>
      </c>
      <c r="H21" s="3">
        <v>7200</v>
      </c>
      <c r="I21" s="53"/>
    </row>
    <row r="22" spans="1:9" ht="15.75">
      <c r="A22" s="4">
        <v>21</v>
      </c>
      <c r="B22" s="3" t="s">
        <v>1</v>
      </c>
      <c r="C22" s="3" t="s">
        <v>31</v>
      </c>
      <c r="D22" s="3" t="s">
        <v>11</v>
      </c>
      <c r="E22" s="3">
        <v>3.4</v>
      </c>
      <c r="F22" s="3" t="s">
        <v>11</v>
      </c>
      <c r="G22" s="3" t="s">
        <v>93</v>
      </c>
      <c r="H22" s="3">
        <v>7100</v>
      </c>
      <c r="I22" s="53"/>
    </row>
    <row r="23" spans="1:9" ht="15.75">
      <c r="A23" s="4">
        <v>22</v>
      </c>
      <c r="B23" s="3" t="s">
        <v>4</v>
      </c>
      <c r="C23" s="3" t="s">
        <v>31</v>
      </c>
      <c r="D23" s="3" t="s">
        <v>16</v>
      </c>
      <c r="E23" s="3">
        <v>2.2000000000000002</v>
      </c>
      <c r="F23" s="3" t="s">
        <v>94</v>
      </c>
      <c r="G23" s="3" t="s">
        <v>90</v>
      </c>
      <c r="H23" s="3">
        <v>6300</v>
      </c>
      <c r="I23" s="53"/>
    </row>
    <row r="24" spans="1:9" ht="15.75">
      <c r="A24" s="4">
        <v>23</v>
      </c>
      <c r="B24" s="3" t="s">
        <v>4</v>
      </c>
      <c r="C24" s="3" t="s">
        <v>31</v>
      </c>
      <c r="D24" s="3" t="s">
        <v>17</v>
      </c>
      <c r="E24" s="3">
        <v>3.1</v>
      </c>
      <c r="F24" s="3" t="s">
        <v>94</v>
      </c>
      <c r="G24" s="3" t="s">
        <v>90</v>
      </c>
      <c r="H24" s="3">
        <v>6900</v>
      </c>
      <c r="I24" s="53"/>
    </row>
    <row r="25" spans="1:9" ht="15.75">
      <c r="A25" s="4">
        <v>24</v>
      </c>
      <c r="B25" s="3" t="s">
        <v>1</v>
      </c>
      <c r="C25" s="3" t="s">
        <v>31</v>
      </c>
      <c r="D25" s="3" t="s">
        <v>14</v>
      </c>
      <c r="E25" s="3">
        <v>2.7</v>
      </c>
      <c r="F25" s="3" t="s">
        <v>14</v>
      </c>
      <c r="G25" s="3" t="s">
        <v>90</v>
      </c>
      <c r="H25" s="3">
        <v>6800</v>
      </c>
      <c r="I25" s="53"/>
    </row>
    <row r="26" spans="1:9" ht="15.75">
      <c r="A26" s="4">
        <v>25</v>
      </c>
      <c r="B26" s="3" t="s">
        <v>4</v>
      </c>
      <c r="C26" s="3" t="s">
        <v>31</v>
      </c>
      <c r="D26" s="3" t="s">
        <v>2</v>
      </c>
      <c r="E26" s="3">
        <v>3.2</v>
      </c>
      <c r="F26" s="3" t="s">
        <v>80</v>
      </c>
      <c r="G26" s="3" t="s">
        <v>90</v>
      </c>
      <c r="H26" s="3">
        <v>7300</v>
      </c>
      <c r="I26" s="53"/>
    </row>
    <row r="27" spans="1:9" ht="15.75">
      <c r="A27" s="4">
        <v>26</v>
      </c>
      <c r="B27" s="3" t="s">
        <v>1</v>
      </c>
      <c r="C27" s="3" t="s">
        <v>31</v>
      </c>
      <c r="D27" s="3" t="s">
        <v>18</v>
      </c>
      <c r="E27" s="3">
        <v>3.6</v>
      </c>
      <c r="F27" s="3" t="s">
        <v>94</v>
      </c>
      <c r="G27" s="3" t="s">
        <v>90</v>
      </c>
      <c r="H27" s="3">
        <v>7400</v>
      </c>
      <c r="I27" s="53"/>
    </row>
    <row r="28" spans="1:9" ht="15.75">
      <c r="A28" s="4">
        <v>27</v>
      </c>
      <c r="B28" s="3" t="s">
        <v>4</v>
      </c>
      <c r="C28" s="3" t="s">
        <v>31</v>
      </c>
      <c r="D28" s="3" t="s">
        <v>3</v>
      </c>
      <c r="E28" s="3">
        <v>2.9</v>
      </c>
      <c r="F28" s="3" t="s">
        <v>3</v>
      </c>
      <c r="G28" s="3" t="s">
        <v>90</v>
      </c>
      <c r="H28" s="3">
        <v>6900</v>
      </c>
      <c r="I28" s="53"/>
    </row>
    <row r="29" spans="1:9" ht="15.75">
      <c r="A29" s="4">
        <v>28</v>
      </c>
      <c r="B29" s="3" t="s">
        <v>4</v>
      </c>
      <c r="C29" s="3" t="s">
        <v>31</v>
      </c>
      <c r="D29" s="3" t="s">
        <v>3</v>
      </c>
      <c r="E29" s="3">
        <v>1.5</v>
      </c>
      <c r="F29" s="3" t="s">
        <v>3</v>
      </c>
      <c r="G29" s="3" t="s">
        <v>90</v>
      </c>
      <c r="H29" s="3">
        <v>9000</v>
      </c>
      <c r="I29" s="53"/>
    </row>
    <row r="30" spans="1:9" ht="15.75">
      <c r="A30" s="4">
        <v>29</v>
      </c>
      <c r="B30" s="3" t="s">
        <v>4</v>
      </c>
      <c r="C30" s="3" t="s">
        <v>31</v>
      </c>
      <c r="D30" s="3" t="s">
        <v>8</v>
      </c>
      <c r="E30" s="3">
        <v>3.1</v>
      </c>
      <c r="F30" s="3" t="s">
        <v>76</v>
      </c>
      <c r="G30" s="3" t="s">
        <v>90</v>
      </c>
      <c r="H30" s="3">
        <v>6500</v>
      </c>
      <c r="I30" s="53"/>
    </row>
    <row r="31" spans="1:9" ht="15.75">
      <c r="A31" s="4">
        <v>30</v>
      </c>
      <c r="B31" s="3" t="s">
        <v>4</v>
      </c>
      <c r="C31" s="3" t="s">
        <v>31</v>
      </c>
      <c r="D31" s="3" t="s">
        <v>12</v>
      </c>
      <c r="E31" s="3">
        <v>1.5</v>
      </c>
      <c r="F31" s="3" t="s">
        <v>12</v>
      </c>
      <c r="G31" s="3" t="s">
        <v>95</v>
      </c>
      <c r="H31" s="3">
        <v>5600</v>
      </c>
      <c r="I31" s="53"/>
    </row>
    <row r="32" spans="1:9" ht="15.75">
      <c r="A32" s="4">
        <v>31</v>
      </c>
      <c r="B32" s="3" t="s">
        <v>4</v>
      </c>
      <c r="C32" s="3" t="s">
        <v>31</v>
      </c>
      <c r="D32" s="3" t="s">
        <v>8</v>
      </c>
      <c r="E32" s="3">
        <v>2.7</v>
      </c>
      <c r="F32" s="3" t="s">
        <v>8</v>
      </c>
      <c r="G32" s="3" t="s">
        <v>95</v>
      </c>
      <c r="H32" s="3">
        <v>6800</v>
      </c>
      <c r="I32" s="53"/>
    </row>
    <row r="33" spans="1:9" ht="15.75">
      <c r="A33" s="4">
        <v>32</v>
      </c>
      <c r="B33" s="3" t="s">
        <v>4</v>
      </c>
      <c r="C33" s="3" t="s">
        <v>31</v>
      </c>
      <c r="D33" s="3" t="s">
        <v>19</v>
      </c>
      <c r="E33" s="3">
        <v>3.1</v>
      </c>
      <c r="F33" s="3" t="s">
        <v>76</v>
      </c>
      <c r="G33" s="3" t="s">
        <v>95</v>
      </c>
      <c r="H33" s="3">
        <v>7300</v>
      </c>
      <c r="I33" s="53"/>
    </row>
    <row r="34" spans="1:9" ht="15.75">
      <c r="A34" s="4">
        <v>33</v>
      </c>
      <c r="B34" s="3" t="s">
        <v>1</v>
      </c>
      <c r="C34" s="3" t="s">
        <v>31</v>
      </c>
      <c r="D34" s="3" t="s">
        <v>14</v>
      </c>
      <c r="E34" s="3">
        <v>2.7</v>
      </c>
      <c r="F34" s="3" t="s">
        <v>80</v>
      </c>
      <c r="G34" s="3" t="s">
        <v>95</v>
      </c>
      <c r="H34" s="3">
        <v>7300</v>
      </c>
      <c r="I34" s="53"/>
    </row>
    <row r="35" spans="1:9" ht="15.75">
      <c r="A35" s="4">
        <v>34</v>
      </c>
      <c r="B35" s="3" t="s">
        <v>4</v>
      </c>
      <c r="C35" s="3" t="s">
        <v>31</v>
      </c>
      <c r="D35" s="3" t="s">
        <v>3</v>
      </c>
      <c r="E35" s="3">
        <v>1.8</v>
      </c>
      <c r="F35" s="3" t="s">
        <v>3</v>
      </c>
      <c r="G35" s="3" t="s">
        <v>96</v>
      </c>
      <c r="H35" s="3">
        <v>5800</v>
      </c>
      <c r="I35" s="53"/>
    </row>
    <row r="36" spans="1:9" ht="15.75">
      <c r="A36" s="4">
        <v>35</v>
      </c>
      <c r="B36" s="3" t="s">
        <v>1</v>
      </c>
      <c r="C36" s="3" t="s">
        <v>31</v>
      </c>
      <c r="D36" s="3" t="s">
        <v>20</v>
      </c>
      <c r="E36" s="3">
        <v>3.7</v>
      </c>
      <c r="F36" s="3" t="s">
        <v>97</v>
      </c>
      <c r="G36" s="3" t="s">
        <v>95</v>
      </c>
      <c r="H36" s="3">
        <v>7600</v>
      </c>
      <c r="I36" s="53"/>
    </row>
    <row r="37" spans="1:9" ht="15.75">
      <c r="A37" s="4">
        <v>36</v>
      </c>
      <c r="B37" s="3" t="s">
        <v>1</v>
      </c>
      <c r="C37" s="3" t="s">
        <v>31</v>
      </c>
      <c r="D37" s="3" t="s">
        <v>20</v>
      </c>
      <c r="E37" s="3">
        <v>3</v>
      </c>
      <c r="F37" s="3" t="s">
        <v>97</v>
      </c>
      <c r="G37" s="3" t="s">
        <v>95</v>
      </c>
      <c r="H37" s="3">
        <v>7400</v>
      </c>
      <c r="I37" s="53"/>
    </row>
    <row r="38" spans="1:9" ht="15.75">
      <c r="A38" s="4">
        <v>37</v>
      </c>
      <c r="B38" s="3" t="s">
        <v>4</v>
      </c>
      <c r="C38" s="3" t="s">
        <v>31</v>
      </c>
      <c r="D38" s="3" t="s">
        <v>21</v>
      </c>
      <c r="E38" s="3">
        <v>2.1</v>
      </c>
      <c r="F38" s="3" t="s">
        <v>21</v>
      </c>
      <c r="G38" s="3" t="s">
        <v>95</v>
      </c>
      <c r="H38" s="3">
        <v>6600</v>
      </c>
      <c r="I38" s="53"/>
    </row>
    <row r="39" spans="1:9" ht="15.75">
      <c r="A39" s="4">
        <v>38</v>
      </c>
      <c r="B39" s="3" t="s">
        <v>1</v>
      </c>
      <c r="C39" s="3" t="s">
        <v>31</v>
      </c>
      <c r="D39" s="3" t="s">
        <v>5</v>
      </c>
      <c r="E39" s="3">
        <v>2.1</v>
      </c>
      <c r="F39" s="3" t="s">
        <v>76</v>
      </c>
      <c r="G39" s="3" t="s">
        <v>98</v>
      </c>
      <c r="H39" s="3">
        <v>6600</v>
      </c>
      <c r="I39" s="53"/>
    </row>
    <row r="40" spans="1:9" ht="15.75">
      <c r="A40" s="4">
        <v>39</v>
      </c>
      <c r="B40" s="3" t="s">
        <v>1</v>
      </c>
      <c r="C40" s="3" t="s">
        <v>31</v>
      </c>
      <c r="D40" s="3" t="s">
        <v>14</v>
      </c>
      <c r="E40" s="3">
        <v>1.5</v>
      </c>
      <c r="F40" s="3" t="s">
        <v>14</v>
      </c>
      <c r="G40" s="3" t="s">
        <v>99</v>
      </c>
      <c r="H40" s="3">
        <v>5300</v>
      </c>
      <c r="I40" s="53"/>
    </row>
    <row r="41" spans="1:9" ht="15.75">
      <c r="A41" s="4">
        <v>40</v>
      </c>
      <c r="B41" s="3" t="s">
        <v>1</v>
      </c>
      <c r="C41" s="3" t="s">
        <v>31</v>
      </c>
      <c r="D41" s="3" t="s">
        <v>15</v>
      </c>
      <c r="E41" s="3">
        <v>3.1</v>
      </c>
      <c r="F41" s="3" t="s">
        <v>15</v>
      </c>
      <c r="G41" s="3" t="s">
        <v>100</v>
      </c>
      <c r="H41" s="3">
        <v>6500</v>
      </c>
      <c r="I41" s="53"/>
    </row>
    <row r="42" spans="1:9" ht="15.75">
      <c r="A42" s="4">
        <v>41</v>
      </c>
      <c r="B42" s="3" t="s">
        <v>4</v>
      </c>
      <c r="C42" s="3" t="s">
        <v>31</v>
      </c>
      <c r="D42" s="3" t="s">
        <v>14</v>
      </c>
      <c r="E42" s="3">
        <v>3.5</v>
      </c>
      <c r="F42" s="3" t="s">
        <v>14</v>
      </c>
      <c r="G42" s="3" t="s">
        <v>100</v>
      </c>
      <c r="H42" s="3">
        <v>5400</v>
      </c>
      <c r="I42" s="53"/>
    </row>
    <row r="43" spans="1:9" ht="15.75">
      <c r="A43" s="4">
        <v>42</v>
      </c>
      <c r="B43" s="3" t="s">
        <v>4</v>
      </c>
      <c r="C43" s="3" t="s">
        <v>31</v>
      </c>
      <c r="D43" s="3" t="s">
        <v>22</v>
      </c>
      <c r="E43" s="3">
        <v>3.4</v>
      </c>
      <c r="F43" s="3" t="s">
        <v>22</v>
      </c>
      <c r="G43" s="3" t="s">
        <v>100</v>
      </c>
      <c r="H43" s="3">
        <v>5800</v>
      </c>
      <c r="I43" s="53"/>
    </row>
    <row r="44" spans="1:9" ht="15.75">
      <c r="A44" s="4">
        <v>43</v>
      </c>
      <c r="B44" s="3" t="s">
        <v>4</v>
      </c>
      <c r="C44" s="3" t="s">
        <v>31</v>
      </c>
      <c r="D44" s="3" t="s">
        <v>13</v>
      </c>
      <c r="E44" s="3">
        <v>3</v>
      </c>
      <c r="F44" s="3" t="s">
        <v>101</v>
      </c>
      <c r="G44" s="3" t="s">
        <v>100</v>
      </c>
      <c r="H44" s="3">
        <v>7400</v>
      </c>
      <c r="I44" s="53"/>
    </row>
    <row r="45" spans="1:9" ht="15.75">
      <c r="A45" s="4">
        <v>44</v>
      </c>
      <c r="B45" s="3" t="s">
        <v>4</v>
      </c>
      <c r="C45" s="3" t="s">
        <v>32</v>
      </c>
      <c r="D45" s="3" t="s">
        <v>15</v>
      </c>
      <c r="E45" s="3">
        <v>1.7</v>
      </c>
      <c r="F45" s="3" t="s">
        <v>15</v>
      </c>
      <c r="G45" s="3" t="s">
        <v>102</v>
      </c>
      <c r="H45" s="3">
        <v>5800</v>
      </c>
      <c r="I45" s="53"/>
    </row>
    <row r="46" spans="1:9" ht="15.75">
      <c r="A46" s="4">
        <v>45</v>
      </c>
      <c r="B46" s="3" t="s">
        <v>1</v>
      </c>
      <c r="C46" s="3" t="s">
        <v>32</v>
      </c>
      <c r="D46" s="3" t="s">
        <v>11</v>
      </c>
      <c r="E46" s="3">
        <v>3.7</v>
      </c>
      <c r="F46" s="3" t="s">
        <v>11</v>
      </c>
      <c r="G46" s="3" t="s">
        <v>103</v>
      </c>
      <c r="H46" s="3">
        <v>7400</v>
      </c>
      <c r="I46" s="53"/>
    </row>
    <row r="47" spans="1:9" ht="15.75">
      <c r="A47" s="4">
        <v>46</v>
      </c>
      <c r="B47" s="3" t="s">
        <v>1</v>
      </c>
      <c r="C47" s="3" t="s">
        <v>32</v>
      </c>
      <c r="D47" s="3" t="s">
        <v>9</v>
      </c>
      <c r="E47" s="3">
        <v>3.5</v>
      </c>
      <c r="F47" s="3" t="s">
        <v>101</v>
      </c>
      <c r="G47" s="3" t="s">
        <v>104</v>
      </c>
      <c r="H47" s="3">
        <v>8000</v>
      </c>
      <c r="I47" s="53"/>
    </row>
    <row r="48" spans="1:9" ht="15.75">
      <c r="A48" s="4">
        <v>47</v>
      </c>
      <c r="B48" s="3" t="s">
        <v>1</v>
      </c>
      <c r="C48" s="3" t="s">
        <v>32</v>
      </c>
      <c r="D48" s="3" t="s">
        <v>23</v>
      </c>
      <c r="E48" s="3">
        <v>2.1</v>
      </c>
      <c r="F48" s="3" t="s">
        <v>105</v>
      </c>
      <c r="G48" s="3" t="s">
        <v>104</v>
      </c>
      <c r="H48" s="3">
        <v>6000</v>
      </c>
      <c r="I48" s="53"/>
    </row>
    <row r="49" spans="1:9" ht="15.75">
      <c r="A49" s="4">
        <v>48</v>
      </c>
      <c r="B49" s="3" t="s">
        <v>4</v>
      </c>
      <c r="C49" s="3" t="s">
        <v>32</v>
      </c>
      <c r="D49" s="3" t="s">
        <v>24</v>
      </c>
      <c r="E49" s="3">
        <v>3.7</v>
      </c>
      <c r="F49" s="3" t="s">
        <v>105</v>
      </c>
      <c r="G49" s="3" t="s">
        <v>104</v>
      </c>
      <c r="H49" s="3">
        <v>8500</v>
      </c>
      <c r="I49" s="53"/>
    </row>
    <row r="50" spans="1:9" ht="15.75">
      <c r="A50" s="4">
        <v>49</v>
      </c>
      <c r="B50" s="3" t="s">
        <v>4</v>
      </c>
      <c r="C50" s="3" t="s">
        <v>32</v>
      </c>
      <c r="D50" s="3" t="s">
        <v>15</v>
      </c>
      <c r="E50" s="3">
        <v>1.5</v>
      </c>
      <c r="F50" s="3" t="s">
        <v>15</v>
      </c>
      <c r="G50" s="3" t="s">
        <v>106</v>
      </c>
      <c r="H50" s="3">
        <v>6300</v>
      </c>
      <c r="I50" s="53"/>
    </row>
    <row r="51" spans="1:9" ht="15.75">
      <c r="A51" s="4">
        <v>50</v>
      </c>
      <c r="B51" s="3" t="s">
        <v>4</v>
      </c>
      <c r="C51" s="3" t="s">
        <v>32</v>
      </c>
      <c r="D51" s="3" t="s">
        <v>13</v>
      </c>
      <c r="E51" s="3">
        <v>1.5</v>
      </c>
      <c r="F51" s="3" t="s">
        <v>92</v>
      </c>
      <c r="G51" s="3" t="s">
        <v>106</v>
      </c>
      <c r="H51" s="3">
        <v>5900</v>
      </c>
      <c r="I51" s="53"/>
    </row>
    <row r="52" spans="1:9" ht="15.75">
      <c r="A52" s="4">
        <v>51</v>
      </c>
      <c r="B52" s="3" t="s">
        <v>1</v>
      </c>
      <c r="C52" s="3" t="s">
        <v>32</v>
      </c>
      <c r="D52" s="3" t="s">
        <v>6</v>
      </c>
      <c r="E52" s="3">
        <v>2.1</v>
      </c>
      <c r="F52" s="3" t="s">
        <v>6</v>
      </c>
      <c r="G52" s="3" t="s">
        <v>106</v>
      </c>
      <c r="H52" s="3">
        <v>6100</v>
      </c>
      <c r="I52" s="53"/>
    </row>
    <row r="53" spans="1:9" ht="15.75">
      <c r="A53" s="4">
        <v>52</v>
      </c>
      <c r="B53" s="3" t="s">
        <v>4</v>
      </c>
      <c r="C53" s="3" t="s">
        <v>32</v>
      </c>
      <c r="D53" s="3" t="s">
        <v>25</v>
      </c>
      <c r="E53" s="3">
        <v>3</v>
      </c>
      <c r="F53" s="3" t="s">
        <v>105</v>
      </c>
      <c r="G53" s="3" t="s">
        <v>107</v>
      </c>
      <c r="H53" s="3">
        <v>6800</v>
      </c>
      <c r="I53" s="53"/>
    </row>
    <row r="54" spans="1:9" ht="15.75">
      <c r="A54" s="4">
        <v>53</v>
      </c>
      <c r="B54" s="3" t="s">
        <v>4</v>
      </c>
      <c r="C54" s="3" t="s">
        <v>32</v>
      </c>
      <c r="D54" s="3" t="s">
        <v>26</v>
      </c>
      <c r="E54" s="3">
        <v>2.5</v>
      </c>
      <c r="F54" s="3" t="s">
        <v>26</v>
      </c>
      <c r="G54" s="3" t="s">
        <v>107</v>
      </c>
      <c r="H54" s="3">
        <v>7000</v>
      </c>
      <c r="I54" s="53"/>
    </row>
    <row r="55" spans="1:9" ht="15.75">
      <c r="A55" s="4">
        <v>54</v>
      </c>
      <c r="B55" s="3" t="s">
        <v>4</v>
      </c>
      <c r="C55" s="3" t="s">
        <v>32</v>
      </c>
      <c r="D55" s="3" t="s">
        <v>3</v>
      </c>
      <c r="E55" s="3">
        <v>3.7</v>
      </c>
      <c r="F55" s="3" t="s">
        <v>3</v>
      </c>
      <c r="G55" s="3" t="s">
        <v>106</v>
      </c>
      <c r="H55" s="3">
        <v>7300</v>
      </c>
      <c r="I55" s="53"/>
    </row>
    <row r="56" spans="1:9" ht="15.75">
      <c r="A56" s="4">
        <v>55</v>
      </c>
      <c r="B56" s="3" t="s">
        <v>1</v>
      </c>
      <c r="C56" s="3" t="s">
        <v>32</v>
      </c>
      <c r="D56" s="3" t="s">
        <v>3</v>
      </c>
      <c r="E56" s="3">
        <v>1.9</v>
      </c>
      <c r="F56" s="3" t="s">
        <v>3</v>
      </c>
      <c r="G56" s="3" t="s">
        <v>106</v>
      </c>
      <c r="H56" s="3">
        <v>6400</v>
      </c>
      <c r="I56" s="53"/>
    </row>
    <row r="57" spans="1:9" ht="15.75">
      <c r="A57" s="4">
        <v>56</v>
      </c>
      <c r="B57" s="3" t="s">
        <v>4</v>
      </c>
      <c r="C57" s="3" t="s">
        <v>32</v>
      </c>
      <c r="D57" s="3" t="s">
        <v>9</v>
      </c>
      <c r="E57" s="3">
        <v>3.3</v>
      </c>
      <c r="F57" s="3" t="s">
        <v>9</v>
      </c>
      <c r="G57" s="3" t="s">
        <v>106</v>
      </c>
      <c r="H57" s="3">
        <v>7500</v>
      </c>
      <c r="I57" s="53"/>
    </row>
    <row r="58" spans="1:9" ht="15.75">
      <c r="A58" s="4">
        <v>57</v>
      </c>
      <c r="B58" s="3" t="s">
        <v>1</v>
      </c>
      <c r="C58" s="3" t="s">
        <v>32</v>
      </c>
      <c r="D58" s="3" t="s">
        <v>3</v>
      </c>
      <c r="E58" s="3">
        <v>3.7</v>
      </c>
      <c r="F58" s="3" t="s">
        <v>3</v>
      </c>
      <c r="G58" s="3" t="s">
        <v>107</v>
      </c>
      <c r="H58" s="3">
        <v>7400</v>
      </c>
      <c r="I58" s="53"/>
    </row>
    <row r="59" spans="1:9" ht="15.75">
      <c r="A59" s="4">
        <v>58</v>
      </c>
      <c r="B59" s="3" t="s">
        <v>1</v>
      </c>
      <c r="C59" s="3" t="s">
        <v>32</v>
      </c>
      <c r="D59" s="3" t="s">
        <v>5</v>
      </c>
      <c r="E59" s="3">
        <v>2.4</v>
      </c>
      <c r="F59" s="3" t="s">
        <v>108</v>
      </c>
      <c r="G59" s="3" t="s">
        <v>107</v>
      </c>
      <c r="H59" s="3">
        <v>6600</v>
      </c>
      <c r="I59" s="53"/>
    </row>
    <row r="60" spans="1:9" ht="15.75">
      <c r="A60" s="4">
        <v>59</v>
      </c>
      <c r="B60" s="3" t="s">
        <v>4</v>
      </c>
      <c r="C60" s="3" t="s">
        <v>32</v>
      </c>
      <c r="D60" s="3" t="s">
        <v>6</v>
      </c>
      <c r="E60" s="3">
        <v>3</v>
      </c>
      <c r="F60" s="3" t="s">
        <v>6</v>
      </c>
      <c r="G60" s="3" t="s">
        <v>107</v>
      </c>
      <c r="H60" s="3">
        <v>7200</v>
      </c>
      <c r="I60" s="53"/>
    </row>
    <row r="61" spans="1:9" ht="15.75">
      <c r="A61" s="4">
        <v>60</v>
      </c>
      <c r="B61" s="3" t="s">
        <v>4</v>
      </c>
      <c r="C61" s="3" t="s">
        <v>32</v>
      </c>
      <c r="D61" s="3" t="s">
        <v>3</v>
      </c>
      <c r="E61" s="3">
        <v>3.5</v>
      </c>
      <c r="F61" s="3" t="s">
        <v>3</v>
      </c>
      <c r="G61" s="5" t="s">
        <v>85</v>
      </c>
      <c r="H61" s="3">
        <v>8200</v>
      </c>
      <c r="I61" s="53"/>
    </row>
    <row r="62" spans="1:9" ht="15.75">
      <c r="A62" s="4">
        <v>61</v>
      </c>
      <c r="B62" s="3" t="s">
        <v>4</v>
      </c>
      <c r="C62" s="3" t="s">
        <v>32</v>
      </c>
      <c r="D62" s="3" t="s">
        <v>27</v>
      </c>
      <c r="E62" s="3">
        <v>1.5</v>
      </c>
      <c r="F62" s="3" t="s">
        <v>105</v>
      </c>
      <c r="G62" s="5" t="s">
        <v>109</v>
      </c>
      <c r="H62" s="3">
        <v>6300</v>
      </c>
      <c r="I62" s="53"/>
    </row>
    <row r="63" spans="1:9" ht="15.75">
      <c r="A63" s="4">
        <v>62</v>
      </c>
      <c r="B63" s="3" t="s">
        <v>1</v>
      </c>
      <c r="C63" s="3" t="s">
        <v>32</v>
      </c>
      <c r="D63" s="3" t="s">
        <v>12</v>
      </c>
      <c r="E63" s="3">
        <v>2.4</v>
      </c>
      <c r="F63" s="3" t="s">
        <v>92</v>
      </c>
      <c r="G63" s="5" t="s">
        <v>109</v>
      </c>
      <c r="H63" s="3">
        <v>6800</v>
      </c>
      <c r="I63" s="53"/>
    </row>
    <row r="64" spans="1:9" ht="15.75">
      <c r="A64" s="4">
        <v>63</v>
      </c>
      <c r="B64" s="3" t="s">
        <v>4</v>
      </c>
      <c r="C64" s="3" t="s">
        <v>32</v>
      </c>
      <c r="D64" s="3" t="s">
        <v>3</v>
      </c>
      <c r="E64" s="3">
        <v>3.7</v>
      </c>
      <c r="F64" s="3" t="s">
        <v>3</v>
      </c>
      <c r="G64" s="5" t="s">
        <v>85</v>
      </c>
      <c r="H64" s="3">
        <v>7600</v>
      </c>
      <c r="I64" s="53"/>
    </row>
    <row r="65" spans="1:9" ht="15.75">
      <c r="A65" s="4">
        <v>64</v>
      </c>
      <c r="B65" s="3" t="s">
        <v>1</v>
      </c>
      <c r="C65" s="3" t="s">
        <v>32</v>
      </c>
      <c r="D65" s="3" t="s">
        <v>27</v>
      </c>
      <c r="E65" s="3">
        <v>1.9</v>
      </c>
      <c r="F65" s="3" t="s">
        <v>108</v>
      </c>
      <c r="G65" s="3" t="s">
        <v>93</v>
      </c>
      <c r="H65" s="3">
        <v>6000</v>
      </c>
      <c r="I65" s="53"/>
    </row>
    <row r="66" spans="1:9" ht="15.75">
      <c r="A66" s="4">
        <v>65</v>
      </c>
      <c r="B66" s="3" t="s">
        <v>4</v>
      </c>
      <c r="C66" s="3" t="s">
        <v>32</v>
      </c>
      <c r="D66" s="3" t="s">
        <v>3</v>
      </c>
      <c r="E66" s="3">
        <v>3.7</v>
      </c>
      <c r="F66" s="3" t="s">
        <v>3</v>
      </c>
      <c r="G66" s="5" t="s">
        <v>93</v>
      </c>
      <c r="H66" s="3">
        <v>7400</v>
      </c>
      <c r="I66" s="53"/>
    </row>
    <row r="67" spans="1:9" ht="15.75">
      <c r="A67" s="4">
        <v>66</v>
      </c>
      <c r="B67" s="3" t="s">
        <v>1</v>
      </c>
      <c r="C67" s="3" t="s">
        <v>32</v>
      </c>
      <c r="D67" s="3" t="s">
        <v>19</v>
      </c>
      <c r="E67" s="3">
        <v>3.2</v>
      </c>
      <c r="F67" s="3" t="s">
        <v>19</v>
      </c>
      <c r="G67" s="5" t="s">
        <v>96</v>
      </c>
      <c r="H67" s="3">
        <v>7300</v>
      </c>
      <c r="I67" s="53"/>
    </row>
    <row r="68" spans="1:9" ht="15.75">
      <c r="A68" s="4">
        <v>67</v>
      </c>
      <c r="B68" s="3" t="s">
        <v>1</v>
      </c>
      <c r="C68" s="3" t="s">
        <v>32</v>
      </c>
      <c r="D68" s="3" t="s">
        <v>26</v>
      </c>
      <c r="E68" s="3">
        <v>3.7</v>
      </c>
      <c r="F68" s="3" t="s">
        <v>101</v>
      </c>
      <c r="G68" s="5" t="s">
        <v>96</v>
      </c>
      <c r="H68" s="3">
        <v>7900</v>
      </c>
      <c r="I68" s="53"/>
    </row>
    <row r="69" spans="1:9" ht="15.75">
      <c r="A69" s="4">
        <v>68</v>
      </c>
      <c r="B69" s="3" t="s">
        <v>1</v>
      </c>
      <c r="C69" s="3" t="s">
        <v>32</v>
      </c>
      <c r="D69" s="3" t="s">
        <v>17</v>
      </c>
      <c r="E69" s="3">
        <v>1.5</v>
      </c>
      <c r="F69" s="3" t="s">
        <v>92</v>
      </c>
      <c r="G69" s="3" t="s">
        <v>110</v>
      </c>
      <c r="H69" s="3">
        <v>5600</v>
      </c>
      <c r="I69" s="53"/>
    </row>
    <row r="70" spans="1:9" ht="15.75">
      <c r="A70" s="4">
        <v>69</v>
      </c>
      <c r="B70" s="3" t="s">
        <v>4</v>
      </c>
      <c r="C70" s="3" t="s">
        <v>32</v>
      </c>
      <c r="D70" s="3" t="s">
        <v>8</v>
      </c>
      <c r="E70" s="3">
        <v>2.5</v>
      </c>
      <c r="F70" s="3" t="s">
        <v>108</v>
      </c>
      <c r="G70" s="3" t="s">
        <v>111</v>
      </c>
      <c r="H70" s="3">
        <v>6500</v>
      </c>
      <c r="I70" s="53"/>
    </row>
    <row r="71" spans="1:9" ht="15.75">
      <c r="A71" s="4">
        <v>70</v>
      </c>
      <c r="B71" s="3" t="s">
        <v>1</v>
      </c>
      <c r="C71" s="3" t="s">
        <v>32</v>
      </c>
      <c r="D71" s="3" t="s">
        <v>28</v>
      </c>
      <c r="E71" s="3">
        <v>3.2</v>
      </c>
      <c r="F71" s="3" t="s">
        <v>28</v>
      </c>
      <c r="G71" s="5" t="s">
        <v>100</v>
      </c>
      <c r="H71" s="3">
        <v>5500</v>
      </c>
      <c r="I71" s="53"/>
    </row>
    <row r="72" spans="1:9" ht="15.75">
      <c r="A72" s="4">
        <v>71</v>
      </c>
      <c r="B72" s="3" t="s">
        <v>1</v>
      </c>
      <c r="C72" s="3" t="s">
        <v>32</v>
      </c>
      <c r="D72" s="3" t="s">
        <v>11</v>
      </c>
      <c r="E72" s="3">
        <v>2.4</v>
      </c>
      <c r="F72" s="3" t="s">
        <v>11</v>
      </c>
      <c r="G72" s="5" t="s">
        <v>112</v>
      </c>
      <c r="H72" s="3">
        <v>6600</v>
      </c>
      <c r="I72" s="53"/>
    </row>
    <row r="73" spans="1:9" ht="15.75">
      <c r="A73" s="4">
        <v>72</v>
      </c>
      <c r="B73" s="3" t="s">
        <v>1</v>
      </c>
      <c r="C73" s="3" t="s">
        <v>32</v>
      </c>
      <c r="D73" s="3" t="s">
        <v>21</v>
      </c>
      <c r="E73" s="3">
        <v>1.6</v>
      </c>
      <c r="F73" s="3" t="s">
        <v>105</v>
      </c>
      <c r="G73" s="5" t="s">
        <v>112</v>
      </c>
      <c r="H73" s="3">
        <v>5900</v>
      </c>
      <c r="I73" s="53"/>
    </row>
    <row r="74" spans="1:9" ht="15.75">
      <c r="A74" s="4">
        <v>73</v>
      </c>
      <c r="B74" s="3" t="s">
        <v>4</v>
      </c>
      <c r="C74" s="3" t="s">
        <v>32</v>
      </c>
      <c r="D74" s="3" t="s">
        <v>16</v>
      </c>
      <c r="E74" s="3">
        <v>3.7</v>
      </c>
      <c r="F74" s="3" t="s">
        <v>113</v>
      </c>
      <c r="G74" s="5" t="s">
        <v>112</v>
      </c>
      <c r="H74" s="3">
        <v>6800</v>
      </c>
      <c r="I74" s="53"/>
    </row>
    <row r="75" spans="1:9" ht="15.75">
      <c r="A75" s="4">
        <v>74</v>
      </c>
      <c r="B75" s="3" t="s">
        <v>4</v>
      </c>
      <c r="C75" s="3" t="s">
        <v>32</v>
      </c>
      <c r="D75" s="3" t="s">
        <v>29</v>
      </c>
      <c r="E75" s="3">
        <v>2.7</v>
      </c>
      <c r="F75" s="3" t="s">
        <v>114</v>
      </c>
      <c r="G75" s="5" t="s">
        <v>100</v>
      </c>
      <c r="H75" s="3">
        <v>7000</v>
      </c>
      <c r="I75" s="53"/>
    </row>
    <row r="76" spans="1:9" ht="15.75">
      <c r="A76" s="4">
        <v>75</v>
      </c>
      <c r="B76" s="3" t="s">
        <v>4</v>
      </c>
      <c r="C76" s="3" t="s">
        <v>33</v>
      </c>
      <c r="D76" s="3" t="s">
        <v>13</v>
      </c>
      <c r="E76" s="3">
        <v>2.1</v>
      </c>
      <c r="F76" s="3" t="s">
        <v>105</v>
      </c>
      <c r="G76" s="3" t="s">
        <v>115</v>
      </c>
      <c r="H76" s="3">
        <v>5400</v>
      </c>
      <c r="I76" s="53"/>
    </row>
    <row r="77" spans="1:9" ht="15.75">
      <c r="A77" s="4">
        <v>76</v>
      </c>
      <c r="B77" s="3" t="s">
        <v>4</v>
      </c>
      <c r="C77" s="3" t="s">
        <v>33</v>
      </c>
      <c r="D77" s="3" t="s">
        <v>3</v>
      </c>
      <c r="E77" s="3">
        <v>3.7</v>
      </c>
      <c r="F77" s="3" t="s">
        <v>3</v>
      </c>
      <c r="G77" s="3" t="s">
        <v>115</v>
      </c>
      <c r="H77" s="3">
        <v>8000</v>
      </c>
      <c r="I77" s="53"/>
    </row>
    <row r="78" spans="1:9" ht="15.75">
      <c r="A78" s="4">
        <v>77</v>
      </c>
      <c r="B78" s="3" t="s">
        <v>4</v>
      </c>
      <c r="C78" s="3" t="s">
        <v>33</v>
      </c>
      <c r="D78" s="3" t="s">
        <v>2</v>
      </c>
      <c r="E78" s="3">
        <v>2</v>
      </c>
      <c r="F78" s="3" t="s">
        <v>105</v>
      </c>
      <c r="G78" s="3" t="s">
        <v>104</v>
      </c>
      <c r="H78" s="3">
        <v>6300</v>
      </c>
      <c r="I78" s="53"/>
    </row>
    <row r="79" spans="1:9" ht="15.75">
      <c r="A79" s="4">
        <v>78</v>
      </c>
      <c r="B79" s="3" t="s">
        <v>1</v>
      </c>
      <c r="C79" s="3" t="s">
        <v>33</v>
      </c>
      <c r="D79" s="3" t="s">
        <v>3</v>
      </c>
      <c r="E79" s="3">
        <v>3.7</v>
      </c>
      <c r="F79" s="3" t="s">
        <v>3</v>
      </c>
      <c r="G79" s="3" t="s">
        <v>104</v>
      </c>
      <c r="H79" s="3">
        <v>7900</v>
      </c>
      <c r="I79" s="53"/>
    </row>
    <row r="80" spans="1:9" ht="15.75">
      <c r="A80" s="4">
        <v>79</v>
      </c>
      <c r="B80" s="3" t="s">
        <v>1</v>
      </c>
      <c r="C80" s="3" t="s">
        <v>33</v>
      </c>
      <c r="D80" s="3" t="s">
        <v>25</v>
      </c>
      <c r="E80" s="3">
        <v>3.7</v>
      </c>
      <c r="F80" s="3" t="s">
        <v>25</v>
      </c>
      <c r="G80" s="3" t="s">
        <v>103</v>
      </c>
      <c r="H80" s="3">
        <v>7600</v>
      </c>
      <c r="I80" s="53"/>
    </row>
    <row r="81" spans="1:9" ht="15.75">
      <c r="A81" s="4">
        <v>80</v>
      </c>
      <c r="B81" s="3" t="s">
        <v>4</v>
      </c>
      <c r="C81" s="3" t="s">
        <v>33</v>
      </c>
      <c r="D81" s="3" t="s">
        <v>29</v>
      </c>
      <c r="E81" s="3">
        <v>2.2000000000000002</v>
      </c>
      <c r="F81" s="3" t="s">
        <v>114</v>
      </c>
      <c r="G81" s="3" t="s">
        <v>107</v>
      </c>
      <c r="H81" s="3">
        <v>6500</v>
      </c>
      <c r="I81" s="53"/>
    </row>
    <row r="82" spans="1:9" ht="15.75">
      <c r="A82" s="4">
        <v>81</v>
      </c>
      <c r="B82" s="3" t="s">
        <v>1</v>
      </c>
      <c r="C82" s="3" t="s">
        <v>33</v>
      </c>
      <c r="D82" s="3" t="s">
        <v>13</v>
      </c>
      <c r="E82" s="3">
        <v>3.6</v>
      </c>
      <c r="F82" s="3" t="s">
        <v>108</v>
      </c>
      <c r="G82" s="3" t="s">
        <v>106</v>
      </c>
      <c r="H82" s="3">
        <v>7800</v>
      </c>
      <c r="I82" s="53"/>
    </row>
    <row r="83" spans="1:9" ht="15.75">
      <c r="A83" s="4">
        <v>82</v>
      </c>
      <c r="B83" s="3" t="s">
        <v>4</v>
      </c>
      <c r="C83" s="3" t="s">
        <v>33</v>
      </c>
      <c r="D83" s="3" t="s">
        <v>27</v>
      </c>
      <c r="E83" s="3">
        <v>2.4</v>
      </c>
      <c r="F83" s="3" t="s">
        <v>105</v>
      </c>
      <c r="G83" s="3" t="s">
        <v>85</v>
      </c>
      <c r="H83" s="3">
        <v>6500</v>
      </c>
      <c r="I83" s="53"/>
    </row>
    <row r="84" spans="1:9" ht="15.75">
      <c r="A84" s="4">
        <v>83</v>
      </c>
      <c r="B84" s="3" t="s">
        <v>1</v>
      </c>
      <c r="C84" s="3" t="s">
        <v>33</v>
      </c>
      <c r="D84" s="3" t="s">
        <v>12</v>
      </c>
      <c r="E84" s="3">
        <v>3.4</v>
      </c>
      <c r="F84" s="3" t="s">
        <v>12</v>
      </c>
      <c r="G84" s="3" t="s">
        <v>109</v>
      </c>
      <c r="H84" s="3">
        <v>7900</v>
      </c>
      <c r="I84" s="53"/>
    </row>
    <row r="85" spans="1:9" ht="15.75">
      <c r="A85" s="4">
        <v>84</v>
      </c>
      <c r="B85" s="3" t="s">
        <v>1</v>
      </c>
      <c r="C85" s="3" t="s">
        <v>33</v>
      </c>
      <c r="D85" s="3" t="s">
        <v>8</v>
      </c>
      <c r="E85" s="3">
        <v>3.7</v>
      </c>
      <c r="F85" s="3" t="s">
        <v>8</v>
      </c>
      <c r="G85" s="3" t="s">
        <v>109</v>
      </c>
      <c r="H85" s="3">
        <v>7900</v>
      </c>
      <c r="I85" s="53"/>
    </row>
    <row r="86" spans="1:9" ht="15.75">
      <c r="A86" s="4">
        <v>85</v>
      </c>
      <c r="B86" s="3" t="s">
        <v>1</v>
      </c>
      <c r="C86" s="3" t="s">
        <v>33</v>
      </c>
      <c r="D86" s="3" t="s">
        <v>21</v>
      </c>
      <c r="E86" s="3">
        <v>3.7</v>
      </c>
      <c r="F86" s="3" t="s">
        <v>21</v>
      </c>
      <c r="G86" s="3" t="s">
        <v>85</v>
      </c>
      <c r="H86" s="3">
        <v>7600</v>
      </c>
      <c r="I86" s="53"/>
    </row>
    <row r="87" spans="1:9" ht="15.75">
      <c r="A87" s="4">
        <v>86</v>
      </c>
      <c r="B87" s="3" t="s">
        <v>1</v>
      </c>
      <c r="C87" s="3" t="s">
        <v>33</v>
      </c>
      <c r="D87" s="3" t="s">
        <v>3</v>
      </c>
      <c r="E87" s="3">
        <v>3.7</v>
      </c>
      <c r="F87" s="3" t="s">
        <v>3</v>
      </c>
      <c r="G87" s="3" t="s">
        <v>109</v>
      </c>
      <c r="H87" s="3">
        <v>7400</v>
      </c>
      <c r="I87" s="53"/>
    </row>
    <row r="88" spans="1:9" ht="15.75">
      <c r="A88" s="4">
        <v>87</v>
      </c>
      <c r="B88" s="3" t="s">
        <v>4</v>
      </c>
      <c r="C88" s="3" t="s">
        <v>33</v>
      </c>
      <c r="D88" s="3" t="s">
        <v>15</v>
      </c>
      <c r="E88" s="3">
        <v>2.7</v>
      </c>
      <c r="F88" s="3" t="s">
        <v>101</v>
      </c>
      <c r="G88" s="3" t="s">
        <v>85</v>
      </c>
      <c r="H88" s="3">
        <v>6500</v>
      </c>
      <c r="I88" s="53"/>
    </row>
    <row r="89" spans="1:9" ht="15.75">
      <c r="A89" s="4">
        <v>88</v>
      </c>
      <c r="B89" s="3" t="s">
        <v>1</v>
      </c>
      <c r="C89" s="3" t="s">
        <v>33</v>
      </c>
      <c r="D89" s="3" t="s">
        <v>19</v>
      </c>
      <c r="E89" s="3">
        <v>2.8</v>
      </c>
      <c r="F89" s="3" t="s">
        <v>19</v>
      </c>
      <c r="G89" s="3" t="s">
        <v>109</v>
      </c>
      <c r="H89" s="3">
        <v>7000</v>
      </c>
      <c r="I89" s="53"/>
    </row>
    <row r="90" spans="1:9" ht="15.75">
      <c r="A90" s="4">
        <v>89</v>
      </c>
      <c r="B90" s="3" t="s">
        <v>1</v>
      </c>
      <c r="C90" s="3" t="s">
        <v>33</v>
      </c>
      <c r="D90" s="3" t="s">
        <v>17</v>
      </c>
      <c r="E90" s="3">
        <v>3.7</v>
      </c>
      <c r="F90" s="3" t="s">
        <v>116</v>
      </c>
      <c r="G90" s="3" t="s">
        <v>85</v>
      </c>
      <c r="H90" s="3">
        <v>7300</v>
      </c>
      <c r="I90" s="53"/>
    </row>
    <row r="91" spans="1:9" ht="15.75">
      <c r="A91" s="4">
        <v>90</v>
      </c>
      <c r="B91" s="3" t="s">
        <v>4</v>
      </c>
      <c r="C91" s="3" t="s">
        <v>33</v>
      </c>
      <c r="D91" s="3" t="s">
        <v>10</v>
      </c>
      <c r="E91" s="3">
        <v>3.2</v>
      </c>
      <c r="F91" s="3" t="s">
        <v>10</v>
      </c>
      <c r="G91" s="3" t="s">
        <v>109</v>
      </c>
      <c r="H91" s="3">
        <v>7300</v>
      </c>
      <c r="I91" s="53"/>
    </row>
    <row r="92" spans="1:9" ht="15.75">
      <c r="A92" s="4">
        <v>91</v>
      </c>
      <c r="B92" s="3" t="s">
        <v>1</v>
      </c>
      <c r="C92" s="3" t="s">
        <v>33</v>
      </c>
      <c r="D92" s="3" t="s">
        <v>28</v>
      </c>
      <c r="E92" s="3">
        <v>1.5</v>
      </c>
      <c r="F92" s="3" t="s">
        <v>28</v>
      </c>
      <c r="G92" s="3" t="s">
        <v>85</v>
      </c>
      <c r="H92" s="3">
        <v>5700</v>
      </c>
      <c r="I92" s="53"/>
    </row>
    <row r="93" spans="1:9" ht="15.75">
      <c r="A93" s="4">
        <v>92</v>
      </c>
      <c r="B93" s="3" t="s">
        <v>4</v>
      </c>
      <c r="C93" s="3" t="s">
        <v>33</v>
      </c>
      <c r="D93" s="3" t="s">
        <v>3</v>
      </c>
      <c r="E93" s="3">
        <v>1.5</v>
      </c>
      <c r="F93" s="3" t="s">
        <v>3</v>
      </c>
      <c r="G93" s="3" t="s">
        <v>93</v>
      </c>
      <c r="H93" s="3">
        <v>6400</v>
      </c>
      <c r="I93" s="53"/>
    </row>
    <row r="94" spans="1:9" ht="15.75">
      <c r="A94" s="4">
        <v>93</v>
      </c>
      <c r="B94" s="3" t="s">
        <v>1</v>
      </c>
      <c r="C94" s="3" t="s">
        <v>33</v>
      </c>
      <c r="D94" s="3" t="s">
        <v>23</v>
      </c>
      <c r="E94" s="3">
        <v>3.7</v>
      </c>
      <c r="F94" s="3" t="s">
        <v>108</v>
      </c>
      <c r="G94" s="3" t="s">
        <v>93</v>
      </c>
      <c r="H94" s="3">
        <v>7000</v>
      </c>
      <c r="I94" s="53"/>
    </row>
    <row r="95" spans="1:9" ht="15.75">
      <c r="A95" s="4">
        <v>94</v>
      </c>
      <c r="B95" s="3" t="s">
        <v>1</v>
      </c>
      <c r="C95" s="3" t="s">
        <v>33</v>
      </c>
      <c r="D95" s="3" t="s">
        <v>3</v>
      </c>
      <c r="E95" s="3">
        <v>2.8</v>
      </c>
      <c r="F95" s="3" t="s">
        <v>3</v>
      </c>
      <c r="G95" s="3" t="s">
        <v>117</v>
      </c>
      <c r="H95" s="3">
        <v>7100</v>
      </c>
      <c r="I95" s="53"/>
    </row>
    <row r="96" spans="1:9" ht="15.75">
      <c r="A96" s="4">
        <v>95</v>
      </c>
      <c r="B96" s="3" t="s">
        <v>1</v>
      </c>
      <c r="C96" s="3" t="s">
        <v>33</v>
      </c>
      <c r="D96" s="3" t="s">
        <v>23</v>
      </c>
      <c r="E96" s="3">
        <v>2</v>
      </c>
      <c r="F96" s="3" t="s">
        <v>23</v>
      </c>
      <c r="G96" s="3" t="s">
        <v>96</v>
      </c>
      <c r="H96" s="3">
        <v>5800</v>
      </c>
      <c r="I96" s="53"/>
    </row>
    <row r="97" spans="1:9" ht="15.75">
      <c r="A97" s="4">
        <v>96</v>
      </c>
      <c r="B97" s="3" t="s">
        <v>1</v>
      </c>
      <c r="C97" s="3" t="s">
        <v>33</v>
      </c>
      <c r="D97" s="3" t="s">
        <v>25</v>
      </c>
      <c r="E97" s="3">
        <v>2</v>
      </c>
      <c r="F97" s="3" t="s">
        <v>25</v>
      </c>
      <c r="G97" s="3" t="s">
        <v>110</v>
      </c>
      <c r="H97" s="3">
        <v>6300</v>
      </c>
      <c r="I97" s="53"/>
    </row>
    <row r="98" spans="1:9" ht="15.75">
      <c r="A98" s="4">
        <v>97</v>
      </c>
      <c r="B98" s="3" t="s">
        <v>1</v>
      </c>
      <c r="C98" s="3" t="s">
        <v>33</v>
      </c>
      <c r="D98" s="3" t="s">
        <v>26</v>
      </c>
      <c r="E98" s="3">
        <v>3.7</v>
      </c>
      <c r="F98" s="3" t="s">
        <v>26</v>
      </c>
      <c r="G98" s="5" t="s">
        <v>96</v>
      </c>
      <c r="H98" s="3">
        <v>7900</v>
      </c>
      <c r="I98" s="53"/>
    </row>
    <row r="99" spans="1:9" ht="15.75">
      <c r="A99" s="4">
        <v>98</v>
      </c>
      <c r="B99" s="3" t="s">
        <v>4</v>
      </c>
      <c r="C99" s="3" t="s">
        <v>33</v>
      </c>
      <c r="D99" s="3" t="s">
        <v>8</v>
      </c>
      <c r="E99" s="3">
        <v>1.8</v>
      </c>
      <c r="F99" s="3" t="s">
        <v>101</v>
      </c>
      <c r="G99" s="5" t="s">
        <v>96</v>
      </c>
      <c r="H99" s="3">
        <v>6000</v>
      </c>
      <c r="I99" s="53"/>
    </row>
    <row r="100" spans="1:9" ht="15.75">
      <c r="A100" s="4">
        <v>99</v>
      </c>
      <c r="B100" s="3" t="s">
        <v>1</v>
      </c>
      <c r="C100" s="3" t="s">
        <v>33</v>
      </c>
      <c r="D100" s="3" t="s">
        <v>3</v>
      </c>
      <c r="E100" s="3">
        <v>3.5</v>
      </c>
      <c r="F100" s="3" t="s">
        <v>3</v>
      </c>
      <c r="G100" s="3" t="s">
        <v>118</v>
      </c>
      <c r="H100" s="3">
        <v>7200</v>
      </c>
      <c r="I100" s="53"/>
    </row>
    <row r="101" spans="1:9" ht="15.75">
      <c r="A101" s="4">
        <v>100</v>
      </c>
      <c r="B101" s="3" t="s">
        <v>1</v>
      </c>
      <c r="C101" s="3" t="s">
        <v>33</v>
      </c>
      <c r="D101" s="3" t="s">
        <v>19</v>
      </c>
      <c r="E101" s="3">
        <v>2.2000000000000002</v>
      </c>
      <c r="F101" s="3" t="s">
        <v>19</v>
      </c>
      <c r="G101" s="3" t="s">
        <v>111</v>
      </c>
      <c r="H101" s="3">
        <v>6600</v>
      </c>
      <c r="I101" s="53"/>
    </row>
    <row r="102" spans="1:9" ht="15.75">
      <c r="A102" s="4">
        <v>101</v>
      </c>
      <c r="B102" s="3" t="s">
        <v>1</v>
      </c>
      <c r="C102" s="3" t="s">
        <v>33</v>
      </c>
      <c r="D102" s="3" t="s">
        <v>6</v>
      </c>
      <c r="E102" s="3">
        <v>2.6</v>
      </c>
      <c r="F102" s="3" t="s">
        <v>6</v>
      </c>
      <c r="G102" s="3" t="s">
        <v>119</v>
      </c>
      <c r="H102" s="3">
        <v>6600</v>
      </c>
      <c r="I102" s="53"/>
    </row>
    <row r="103" spans="1:9" ht="15.75">
      <c r="A103" s="4">
        <v>102</v>
      </c>
      <c r="B103" s="3" t="s">
        <v>1</v>
      </c>
      <c r="C103" s="3" t="s">
        <v>33</v>
      </c>
      <c r="D103" s="3" t="s">
        <v>10</v>
      </c>
      <c r="E103" s="3">
        <v>3.5</v>
      </c>
      <c r="F103" s="3" t="s">
        <v>92</v>
      </c>
      <c r="G103" s="3" t="s">
        <v>99</v>
      </c>
      <c r="H103" s="3">
        <v>7200</v>
      </c>
      <c r="I103" s="53"/>
    </row>
    <row r="104" spans="1:9" ht="15.75">
      <c r="A104" s="4">
        <v>103</v>
      </c>
      <c r="B104" s="3" t="s">
        <v>4</v>
      </c>
      <c r="C104" s="3" t="s">
        <v>33</v>
      </c>
      <c r="D104" s="3" t="s">
        <v>3</v>
      </c>
      <c r="E104" s="3">
        <v>1.7</v>
      </c>
      <c r="F104" s="3" t="s">
        <v>3</v>
      </c>
      <c r="G104" s="5" t="s">
        <v>112</v>
      </c>
      <c r="H104" s="3">
        <v>6100</v>
      </c>
      <c r="I104" s="53"/>
    </row>
    <row r="105" spans="1:9" ht="15.75">
      <c r="A105" s="4">
        <v>104</v>
      </c>
      <c r="B105" s="3" t="s">
        <v>1</v>
      </c>
      <c r="C105" s="3" t="s">
        <v>33</v>
      </c>
      <c r="D105" s="3" t="s">
        <v>13</v>
      </c>
      <c r="E105" s="3">
        <v>1.6</v>
      </c>
      <c r="F105" s="3" t="s">
        <v>13</v>
      </c>
      <c r="G105" s="5" t="s">
        <v>100</v>
      </c>
      <c r="H105" s="3">
        <v>5800</v>
      </c>
      <c r="I105" s="53"/>
    </row>
    <row r="106" spans="1:9" ht="15.75">
      <c r="A106" s="4">
        <v>105</v>
      </c>
      <c r="B106" s="3" t="s">
        <v>1</v>
      </c>
      <c r="C106" s="3" t="s">
        <v>33</v>
      </c>
      <c r="D106" s="3" t="s">
        <v>26</v>
      </c>
      <c r="E106" s="3">
        <v>2.2999999999999998</v>
      </c>
      <c r="F106" s="3" t="s">
        <v>26</v>
      </c>
      <c r="G106" s="3" t="s">
        <v>112</v>
      </c>
      <c r="H106" s="3">
        <v>6300</v>
      </c>
      <c r="I106" s="53"/>
    </row>
    <row r="107" spans="1:9" ht="15.75">
      <c r="A107" s="4">
        <v>106</v>
      </c>
      <c r="B107" s="3" t="s">
        <v>1</v>
      </c>
      <c r="C107" s="3" t="s">
        <v>33</v>
      </c>
      <c r="D107" s="3" t="s">
        <v>3</v>
      </c>
      <c r="E107" s="3">
        <v>2.1</v>
      </c>
      <c r="F107" s="3" t="s">
        <v>3</v>
      </c>
      <c r="G107" s="5" t="s">
        <v>112</v>
      </c>
      <c r="H107" s="3">
        <v>6000</v>
      </c>
      <c r="I107" s="53"/>
    </row>
    <row r="108" spans="1:9" ht="15.75">
      <c r="A108" s="4">
        <v>107</v>
      </c>
      <c r="B108" s="3" t="s">
        <v>4</v>
      </c>
      <c r="C108" s="3" t="s">
        <v>33</v>
      </c>
      <c r="D108" s="3" t="s">
        <v>28</v>
      </c>
      <c r="E108" s="3">
        <v>1.5</v>
      </c>
      <c r="F108" s="3" t="s">
        <v>28</v>
      </c>
      <c r="G108" s="5" t="s">
        <v>100</v>
      </c>
      <c r="H108" s="3">
        <v>5300</v>
      </c>
      <c r="I108" s="53"/>
    </row>
    <row r="109" spans="1:9" ht="15.75">
      <c r="A109" s="4">
        <v>108</v>
      </c>
      <c r="B109" s="3" t="s">
        <v>4</v>
      </c>
      <c r="C109" s="3" t="s">
        <v>33</v>
      </c>
      <c r="D109" s="3" t="s">
        <v>9</v>
      </c>
      <c r="E109" s="3">
        <v>3.5</v>
      </c>
      <c r="F109" s="3" t="s">
        <v>9</v>
      </c>
      <c r="G109" s="5" t="s">
        <v>112</v>
      </c>
      <c r="H109" s="3">
        <v>7600</v>
      </c>
      <c r="I109" s="53"/>
    </row>
    <row r="110" spans="1:9" ht="15.75">
      <c r="A110" s="4">
        <v>109</v>
      </c>
      <c r="B110" s="3" t="s">
        <v>1</v>
      </c>
      <c r="C110" s="3" t="s">
        <v>33</v>
      </c>
      <c r="D110" s="3" t="s">
        <v>19</v>
      </c>
      <c r="E110" s="3">
        <v>1.5</v>
      </c>
      <c r="F110" s="3" t="s">
        <v>19</v>
      </c>
      <c r="G110" s="5" t="s">
        <v>112</v>
      </c>
      <c r="H110" s="3">
        <v>6500</v>
      </c>
      <c r="I110" s="53"/>
    </row>
    <row r="111" spans="1:9" ht="15.75">
      <c r="A111" s="4">
        <v>110</v>
      </c>
      <c r="B111" s="3" t="s">
        <v>1</v>
      </c>
      <c r="C111" s="3" t="s">
        <v>33</v>
      </c>
      <c r="D111" s="3" t="s">
        <v>11</v>
      </c>
      <c r="E111" s="3">
        <v>3.3</v>
      </c>
      <c r="F111" s="3" t="s">
        <v>11</v>
      </c>
      <c r="G111" s="5" t="s">
        <v>112</v>
      </c>
      <c r="H111" s="3">
        <v>7200</v>
      </c>
      <c r="I111" s="53"/>
    </row>
    <row r="112" spans="1:9" ht="15.75">
      <c r="A112" s="4">
        <v>111</v>
      </c>
      <c r="B112" s="3" t="s">
        <v>4</v>
      </c>
      <c r="C112" s="3" t="s">
        <v>34</v>
      </c>
      <c r="D112" s="3" t="s">
        <v>25</v>
      </c>
      <c r="E112" s="3">
        <v>3.7</v>
      </c>
      <c r="F112" s="3" t="s">
        <v>25</v>
      </c>
      <c r="G112" s="3" t="s">
        <v>115</v>
      </c>
      <c r="H112" s="3">
        <v>7200</v>
      </c>
      <c r="I112" s="53"/>
    </row>
    <row r="113" spans="1:9" ht="15.75">
      <c r="A113" s="4">
        <v>112</v>
      </c>
      <c r="B113" s="3" t="s">
        <v>4</v>
      </c>
      <c r="C113" s="3" t="s">
        <v>34</v>
      </c>
      <c r="D113" s="3" t="s">
        <v>28</v>
      </c>
      <c r="E113" s="3">
        <v>3.1</v>
      </c>
      <c r="F113" s="3" t="s">
        <v>108</v>
      </c>
      <c r="G113" s="3" t="s">
        <v>104</v>
      </c>
      <c r="H113" s="3">
        <v>7100</v>
      </c>
      <c r="I113" s="53"/>
    </row>
    <row r="114" spans="1:9" ht="15.75">
      <c r="A114" s="4">
        <v>113</v>
      </c>
      <c r="B114" s="3" t="s">
        <v>4</v>
      </c>
      <c r="C114" s="3" t="s">
        <v>34</v>
      </c>
      <c r="D114" s="3" t="s">
        <v>21</v>
      </c>
      <c r="E114" s="3">
        <v>2.5</v>
      </c>
      <c r="F114" s="3" t="s">
        <v>21</v>
      </c>
      <c r="G114" s="3" t="s">
        <v>106</v>
      </c>
      <c r="H114" s="3">
        <v>5900</v>
      </c>
      <c r="I114" s="53"/>
    </row>
    <row r="115" spans="1:9" ht="15.75">
      <c r="A115" s="4">
        <v>114</v>
      </c>
      <c r="B115" s="3" t="s">
        <v>4</v>
      </c>
      <c r="C115" s="3" t="s">
        <v>34</v>
      </c>
      <c r="D115" s="3" t="s">
        <v>19</v>
      </c>
      <c r="E115" s="3">
        <v>2.2000000000000002</v>
      </c>
      <c r="F115" s="3" t="s">
        <v>105</v>
      </c>
      <c r="G115" s="3" t="s">
        <v>106</v>
      </c>
      <c r="H115" s="3">
        <v>6200</v>
      </c>
      <c r="I115" s="53"/>
    </row>
    <row r="116" spans="1:9" ht="15.75">
      <c r="A116" s="4">
        <v>115</v>
      </c>
      <c r="B116" s="3" t="s">
        <v>1</v>
      </c>
      <c r="C116" s="3" t="s">
        <v>34</v>
      </c>
      <c r="D116" s="3" t="s">
        <v>3</v>
      </c>
      <c r="E116" s="3">
        <v>1.5</v>
      </c>
      <c r="F116" s="3" t="s">
        <v>3</v>
      </c>
      <c r="G116" s="3" t="s">
        <v>106</v>
      </c>
      <c r="H116" s="3">
        <v>6400</v>
      </c>
      <c r="I116" s="53"/>
    </row>
    <row r="117" spans="1:9" ht="15.75">
      <c r="A117" s="4">
        <v>116</v>
      </c>
      <c r="B117" s="3" t="s">
        <v>4</v>
      </c>
      <c r="C117" s="3" t="s">
        <v>34</v>
      </c>
      <c r="D117" s="3" t="s">
        <v>20</v>
      </c>
      <c r="E117" s="3">
        <v>1.5</v>
      </c>
      <c r="F117" s="3" t="s">
        <v>101</v>
      </c>
      <c r="G117" s="3" t="s">
        <v>107</v>
      </c>
      <c r="H117" s="3">
        <v>6500</v>
      </c>
      <c r="I117" s="53"/>
    </row>
    <row r="118" spans="1:9" ht="15.75">
      <c r="A118" s="4">
        <v>117</v>
      </c>
      <c r="B118" s="3" t="s">
        <v>1</v>
      </c>
      <c r="C118" s="3" t="s">
        <v>34</v>
      </c>
      <c r="D118" s="3" t="s">
        <v>20</v>
      </c>
      <c r="E118" s="3">
        <v>3.7</v>
      </c>
      <c r="F118" s="3" t="s">
        <v>120</v>
      </c>
      <c r="G118" s="3" t="s">
        <v>107</v>
      </c>
      <c r="H118" s="3">
        <v>7400</v>
      </c>
      <c r="I118" s="53"/>
    </row>
    <row r="119" spans="1:9" ht="15.75">
      <c r="A119" s="4">
        <v>118</v>
      </c>
      <c r="B119" s="3" t="s">
        <v>4</v>
      </c>
      <c r="C119" s="3" t="s">
        <v>34</v>
      </c>
      <c r="D119" s="3" t="s">
        <v>24</v>
      </c>
      <c r="E119" s="3">
        <v>2.2000000000000002</v>
      </c>
      <c r="F119" s="3" t="s">
        <v>24</v>
      </c>
      <c r="G119" s="3" t="s">
        <v>85</v>
      </c>
      <c r="H119" s="3">
        <v>6400</v>
      </c>
      <c r="I119" s="53"/>
    </row>
    <row r="120" spans="1:9" ht="15.75">
      <c r="A120" s="4">
        <v>119</v>
      </c>
      <c r="B120" s="3" t="s">
        <v>4</v>
      </c>
      <c r="C120" s="3" t="s">
        <v>34</v>
      </c>
      <c r="D120" s="3" t="s">
        <v>23</v>
      </c>
      <c r="E120" s="3">
        <v>1.5</v>
      </c>
      <c r="F120" s="3" t="s">
        <v>23</v>
      </c>
      <c r="G120" s="3" t="s">
        <v>109</v>
      </c>
      <c r="H120" s="3">
        <v>6100</v>
      </c>
      <c r="I120" s="53"/>
    </row>
    <row r="121" spans="1:9" ht="15.75">
      <c r="A121" s="4">
        <v>120</v>
      </c>
      <c r="B121" s="3" t="s">
        <v>1</v>
      </c>
      <c r="C121" s="3" t="s">
        <v>34</v>
      </c>
      <c r="D121" s="3" t="s">
        <v>11</v>
      </c>
      <c r="E121" s="3">
        <v>2.1</v>
      </c>
      <c r="F121" s="3" t="s">
        <v>105</v>
      </c>
      <c r="G121" s="3" t="s">
        <v>85</v>
      </c>
      <c r="H121" s="3">
        <v>6300</v>
      </c>
      <c r="I121" s="53"/>
    </row>
    <row r="122" spans="1:9" ht="15.75">
      <c r="A122" s="4">
        <v>121</v>
      </c>
      <c r="B122" s="3" t="s">
        <v>4</v>
      </c>
      <c r="C122" s="3" t="s">
        <v>34</v>
      </c>
      <c r="D122" s="3" t="s">
        <v>28</v>
      </c>
      <c r="E122" s="3">
        <v>3.4</v>
      </c>
      <c r="F122" s="3" t="s">
        <v>28</v>
      </c>
      <c r="G122" s="3" t="s">
        <v>85</v>
      </c>
      <c r="H122" s="3">
        <v>7300</v>
      </c>
      <c r="I122" s="53"/>
    </row>
    <row r="123" spans="1:9" ht="15.75">
      <c r="A123" s="4">
        <v>122</v>
      </c>
      <c r="B123" s="3" t="s">
        <v>4</v>
      </c>
      <c r="C123" s="3" t="s">
        <v>34</v>
      </c>
      <c r="D123" s="3" t="s">
        <v>3</v>
      </c>
      <c r="E123" s="3">
        <v>2</v>
      </c>
      <c r="F123" s="3" t="s">
        <v>3</v>
      </c>
      <c r="G123" s="3" t="s">
        <v>109</v>
      </c>
      <c r="H123" s="3">
        <v>9200</v>
      </c>
      <c r="I123" s="53"/>
    </row>
    <row r="124" spans="1:9" ht="15.75">
      <c r="A124" s="4">
        <v>123</v>
      </c>
      <c r="B124" s="3" t="s">
        <v>1</v>
      </c>
      <c r="C124" s="3" t="s">
        <v>34</v>
      </c>
      <c r="D124" s="3" t="s">
        <v>3</v>
      </c>
      <c r="E124" s="3">
        <v>3.2</v>
      </c>
      <c r="F124" s="3" t="s">
        <v>3</v>
      </c>
      <c r="G124" s="3" t="s">
        <v>85</v>
      </c>
      <c r="H124" s="3">
        <v>7400</v>
      </c>
      <c r="I124" s="53"/>
    </row>
    <row r="125" spans="1:9" ht="15.75">
      <c r="A125" s="4">
        <v>124</v>
      </c>
      <c r="B125" s="3" t="s">
        <v>4</v>
      </c>
      <c r="C125" s="3" t="s">
        <v>34</v>
      </c>
      <c r="D125" s="3" t="s">
        <v>27</v>
      </c>
      <c r="E125" s="3">
        <v>1.6</v>
      </c>
      <c r="F125" s="3" t="s">
        <v>105</v>
      </c>
      <c r="G125" s="3" t="s">
        <v>85</v>
      </c>
      <c r="H125" s="3">
        <v>6300</v>
      </c>
      <c r="I125" s="53"/>
    </row>
    <row r="126" spans="1:9" ht="15.75">
      <c r="A126" s="4">
        <v>125</v>
      </c>
      <c r="B126" s="3" t="s">
        <v>1</v>
      </c>
      <c r="C126" s="3" t="s">
        <v>34</v>
      </c>
      <c r="D126" s="3" t="s">
        <v>3</v>
      </c>
      <c r="E126" s="3">
        <v>1.5</v>
      </c>
      <c r="F126" s="3" t="s">
        <v>3</v>
      </c>
      <c r="G126" s="3" t="s">
        <v>117</v>
      </c>
      <c r="H126" s="3">
        <v>8800</v>
      </c>
      <c r="I126" s="53"/>
    </row>
    <row r="127" spans="1:9" ht="15.75">
      <c r="A127" s="4">
        <v>126</v>
      </c>
      <c r="B127" s="3" t="s">
        <v>4</v>
      </c>
      <c r="C127" s="3" t="s">
        <v>34</v>
      </c>
      <c r="D127" s="3" t="s">
        <v>26</v>
      </c>
      <c r="E127" s="3">
        <v>1.5</v>
      </c>
      <c r="F127" s="3" t="s">
        <v>26</v>
      </c>
      <c r="G127" s="3" t="s">
        <v>93</v>
      </c>
      <c r="H127" s="3">
        <v>6400</v>
      </c>
      <c r="I127" s="53"/>
    </row>
    <row r="128" spans="1:9" ht="15.75">
      <c r="A128" s="4">
        <v>127</v>
      </c>
      <c r="B128" s="3" t="s">
        <v>4</v>
      </c>
      <c r="C128" s="3" t="s">
        <v>34</v>
      </c>
      <c r="D128" s="3" t="s">
        <v>26</v>
      </c>
      <c r="E128" s="3">
        <v>2.4</v>
      </c>
      <c r="F128" s="3" t="s">
        <v>26</v>
      </c>
      <c r="G128" s="3" t="s">
        <v>93</v>
      </c>
      <c r="H128" s="3">
        <v>6800</v>
      </c>
      <c r="I128" s="53"/>
    </row>
    <row r="129" spans="1:9" ht="15.75">
      <c r="A129" s="4">
        <v>128</v>
      </c>
      <c r="B129" s="3" t="s">
        <v>1</v>
      </c>
      <c r="C129" s="3" t="s">
        <v>34</v>
      </c>
      <c r="D129" s="3" t="s">
        <v>14</v>
      </c>
      <c r="E129" s="3">
        <v>3.7</v>
      </c>
      <c r="F129" s="3" t="s">
        <v>105</v>
      </c>
      <c r="G129" s="3" t="s">
        <v>117</v>
      </c>
      <c r="H129" s="3">
        <v>7700</v>
      </c>
      <c r="I129" s="53"/>
    </row>
    <row r="130" spans="1:9" ht="15.75">
      <c r="A130" s="4">
        <v>129</v>
      </c>
      <c r="B130" s="3" t="s">
        <v>4</v>
      </c>
      <c r="C130" s="3" t="s">
        <v>34</v>
      </c>
      <c r="D130" s="3" t="s">
        <v>3</v>
      </c>
      <c r="E130" s="3">
        <v>3.7</v>
      </c>
      <c r="F130" s="3" t="s">
        <v>3</v>
      </c>
      <c r="G130" s="3" t="s">
        <v>117</v>
      </c>
      <c r="H130" s="3">
        <v>7700</v>
      </c>
      <c r="I130" s="53"/>
    </row>
    <row r="131" spans="1:9" ht="15.75">
      <c r="A131" s="4">
        <v>130</v>
      </c>
      <c r="B131" s="3" t="s">
        <v>4</v>
      </c>
      <c r="C131" s="3" t="s">
        <v>34</v>
      </c>
      <c r="D131" s="3" t="s">
        <v>12</v>
      </c>
      <c r="E131" s="3">
        <v>3.7</v>
      </c>
      <c r="F131" s="3" t="s">
        <v>12</v>
      </c>
      <c r="G131" s="3" t="s">
        <v>93</v>
      </c>
      <c r="H131" s="3">
        <v>8000</v>
      </c>
      <c r="I131" s="53"/>
    </row>
    <row r="132" spans="1:9" ht="15.75">
      <c r="A132" s="4">
        <v>131</v>
      </c>
      <c r="B132" s="3" t="s">
        <v>4</v>
      </c>
      <c r="C132" s="3" t="s">
        <v>34</v>
      </c>
      <c r="D132" s="3" t="s">
        <v>15</v>
      </c>
      <c r="E132" s="3">
        <v>3.4</v>
      </c>
      <c r="F132" s="3" t="s">
        <v>15</v>
      </c>
      <c r="G132" s="3" t="s">
        <v>93</v>
      </c>
      <c r="H132" s="3">
        <v>7300</v>
      </c>
      <c r="I132" s="53"/>
    </row>
    <row r="133" spans="1:9" ht="15.75">
      <c r="A133" s="4">
        <v>132</v>
      </c>
      <c r="B133" s="3" t="s">
        <v>1</v>
      </c>
      <c r="C133" s="3" t="s">
        <v>34</v>
      </c>
      <c r="D133" s="3" t="s">
        <v>12</v>
      </c>
      <c r="E133" s="3">
        <v>2.4</v>
      </c>
      <c r="F133" s="3" t="s">
        <v>12</v>
      </c>
      <c r="G133" s="3" t="s">
        <v>117</v>
      </c>
      <c r="H133" s="3">
        <v>7000</v>
      </c>
      <c r="I133" s="53"/>
    </row>
    <row r="134" spans="1:9" ht="15.75">
      <c r="A134" s="4">
        <v>133</v>
      </c>
      <c r="B134" s="3" t="s">
        <v>4</v>
      </c>
      <c r="C134" s="3" t="s">
        <v>34</v>
      </c>
      <c r="D134" s="3" t="s">
        <v>17</v>
      </c>
      <c r="E134" s="3">
        <v>2.9</v>
      </c>
      <c r="F134" s="3" t="s">
        <v>116</v>
      </c>
      <c r="G134" s="3" t="s">
        <v>93</v>
      </c>
      <c r="H134" s="3">
        <v>6500</v>
      </c>
      <c r="I134" s="53"/>
    </row>
    <row r="135" spans="1:9" ht="15.75">
      <c r="A135" s="4">
        <v>134</v>
      </c>
      <c r="B135" s="3" t="s">
        <v>4</v>
      </c>
      <c r="C135" s="3" t="s">
        <v>34</v>
      </c>
      <c r="D135" s="3" t="s">
        <v>3</v>
      </c>
      <c r="E135" s="3">
        <v>3.7</v>
      </c>
      <c r="F135" s="3" t="s">
        <v>3</v>
      </c>
      <c r="G135" s="3" t="s">
        <v>93</v>
      </c>
      <c r="H135" s="3">
        <v>7300</v>
      </c>
      <c r="I135" s="53"/>
    </row>
    <row r="136" spans="1:9" ht="15.75">
      <c r="A136" s="4">
        <v>135</v>
      </c>
      <c r="B136" s="3" t="s">
        <v>4</v>
      </c>
      <c r="C136" s="3" t="s">
        <v>34</v>
      </c>
      <c r="D136" s="3" t="s">
        <v>8</v>
      </c>
      <c r="E136" s="3">
        <v>3.1</v>
      </c>
      <c r="F136" s="3" t="s">
        <v>8</v>
      </c>
      <c r="G136" s="3" t="s">
        <v>93</v>
      </c>
      <c r="H136" s="3">
        <v>6600</v>
      </c>
      <c r="I136" s="53"/>
    </row>
    <row r="137" spans="1:9" ht="15.75">
      <c r="A137" s="4">
        <v>136</v>
      </c>
      <c r="B137" s="3" t="s">
        <v>1</v>
      </c>
      <c r="C137" s="3" t="s">
        <v>34</v>
      </c>
      <c r="D137" s="3" t="s">
        <v>3</v>
      </c>
      <c r="E137" s="3">
        <v>3.7</v>
      </c>
      <c r="F137" s="3" t="s">
        <v>3</v>
      </c>
      <c r="G137" s="3" t="s">
        <v>117</v>
      </c>
      <c r="H137" s="3">
        <v>7700</v>
      </c>
      <c r="I137" s="53"/>
    </row>
    <row r="138" spans="1:9" ht="15.75">
      <c r="A138" s="4">
        <v>137</v>
      </c>
      <c r="B138" s="3" t="s">
        <v>4</v>
      </c>
      <c r="C138" s="3" t="s">
        <v>34</v>
      </c>
      <c r="D138" s="3" t="s">
        <v>28</v>
      </c>
      <c r="E138" s="3">
        <v>3.4</v>
      </c>
      <c r="F138" s="3" t="s">
        <v>105</v>
      </c>
      <c r="G138" s="3" t="s">
        <v>93</v>
      </c>
      <c r="H138" s="3">
        <v>7100</v>
      </c>
      <c r="I138" s="53"/>
    </row>
    <row r="139" spans="1:9" ht="15.75">
      <c r="A139" s="4">
        <v>138</v>
      </c>
      <c r="B139" s="3" t="s">
        <v>1</v>
      </c>
      <c r="C139" s="3" t="s">
        <v>34</v>
      </c>
      <c r="D139" s="3" t="s">
        <v>15</v>
      </c>
      <c r="E139" s="3">
        <v>3.4</v>
      </c>
      <c r="F139" s="3" t="s">
        <v>15</v>
      </c>
      <c r="G139" s="3" t="s">
        <v>117</v>
      </c>
      <c r="H139" s="3">
        <v>7700</v>
      </c>
      <c r="I139" s="53"/>
    </row>
    <row r="140" spans="1:9" ht="15.75">
      <c r="A140" s="4">
        <v>139</v>
      </c>
      <c r="B140" s="3" t="s">
        <v>1</v>
      </c>
      <c r="C140" s="3" t="s">
        <v>34</v>
      </c>
      <c r="D140" s="3" t="s">
        <v>19</v>
      </c>
      <c r="E140" s="3">
        <v>2.4</v>
      </c>
      <c r="F140" s="3" t="s">
        <v>19</v>
      </c>
      <c r="G140" s="3" t="s">
        <v>93</v>
      </c>
      <c r="H140" s="3">
        <v>6700</v>
      </c>
      <c r="I140" s="53"/>
    </row>
    <row r="141" spans="1:9" ht="15.75">
      <c r="A141" s="4">
        <v>140</v>
      </c>
      <c r="B141" s="3" t="s">
        <v>1</v>
      </c>
      <c r="C141" s="3" t="s">
        <v>34</v>
      </c>
      <c r="D141" s="3" t="s">
        <v>13</v>
      </c>
      <c r="E141" s="3">
        <v>3.4</v>
      </c>
      <c r="F141" s="3" t="s">
        <v>13</v>
      </c>
      <c r="G141" s="3" t="s">
        <v>93</v>
      </c>
      <c r="H141" s="3">
        <v>7300</v>
      </c>
      <c r="I141" s="53"/>
    </row>
    <row r="142" spans="1:9" ht="15.75">
      <c r="A142" s="4">
        <v>141</v>
      </c>
      <c r="B142" s="3" t="s">
        <v>4</v>
      </c>
      <c r="C142" s="3" t="s">
        <v>34</v>
      </c>
      <c r="D142" s="3" t="s">
        <v>21</v>
      </c>
      <c r="E142" s="3">
        <v>3.1</v>
      </c>
      <c r="F142" s="3" t="s">
        <v>108</v>
      </c>
      <c r="G142" s="3" t="s">
        <v>117</v>
      </c>
      <c r="H142" s="3">
        <v>9000</v>
      </c>
      <c r="I142" s="53"/>
    </row>
    <row r="143" spans="1:9" ht="15.75">
      <c r="A143" s="4">
        <v>142</v>
      </c>
      <c r="B143" s="3" t="s">
        <v>4</v>
      </c>
      <c r="C143" s="3" t="s">
        <v>34</v>
      </c>
      <c r="D143" s="3" t="s">
        <v>20</v>
      </c>
      <c r="E143" s="3">
        <v>2.5</v>
      </c>
      <c r="F143" s="3" t="s">
        <v>120</v>
      </c>
      <c r="G143" s="3" t="s">
        <v>93</v>
      </c>
      <c r="H143" s="3">
        <v>7300</v>
      </c>
      <c r="I143" s="53"/>
    </row>
    <row r="144" spans="1:9" ht="15.75">
      <c r="A144" s="4">
        <v>143</v>
      </c>
      <c r="B144" s="3" t="s">
        <v>4</v>
      </c>
      <c r="C144" s="3" t="s">
        <v>34</v>
      </c>
      <c r="D144" s="3" t="s">
        <v>20</v>
      </c>
      <c r="E144" s="3">
        <v>2.8</v>
      </c>
      <c r="F144" s="3" t="s">
        <v>105</v>
      </c>
      <c r="G144" s="3" t="s">
        <v>93</v>
      </c>
      <c r="H144" s="3">
        <v>7100</v>
      </c>
      <c r="I144" s="53"/>
    </row>
    <row r="145" spans="1:9" ht="15.75">
      <c r="A145" s="4">
        <v>144</v>
      </c>
      <c r="B145" s="3" t="s">
        <v>1</v>
      </c>
      <c r="C145" s="3" t="s">
        <v>34</v>
      </c>
      <c r="D145" s="3" t="s">
        <v>17</v>
      </c>
      <c r="E145" s="3">
        <v>3.3</v>
      </c>
      <c r="F145" s="3" t="s">
        <v>121</v>
      </c>
      <c r="G145" s="3" t="s">
        <v>96</v>
      </c>
      <c r="H145" s="3">
        <v>7400</v>
      </c>
      <c r="I145" s="53"/>
    </row>
    <row r="146" spans="1:9" ht="15.75">
      <c r="A146" s="4">
        <v>145</v>
      </c>
      <c r="B146" s="3" t="s">
        <v>4</v>
      </c>
      <c r="C146" s="3" t="s">
        <v>34</v>
      </c>
      <c r="D146" s="3" t="s">
        <v>3</v>
      </c>
      <c r="E146" s="3">
        <v>1.8</v>
      </c>
      <c r="F146" s="3" t="s">
        <v>113</v>
      </c>
      <c r="G146" s="3" t="s">
        <v>96</v>
      </c>
      <c r="H146" s="3">
        <v>9000</v>
      </c>
      <c r="I146" s="53"/>
    </row>
    <row r="147" spans="1:9" ht="15.75">
      <c r="A147" s="4">
        <v>146</v>
      </c>
      <c r="B147" s="3" t="s">
        <v>4</v>
      </c>
      <c r="C147" s="3" t="s">
        <v>34</v>
      </c>
      <c r="D147" s="3" t="s">
        <v>24</v>
      </c>
      <c r="E147" s="3">
        <v>3.4</v>
      </c>
      <c r="F147" s="3" t="s">
        <v>24</v>
      </c>
      <c r="G147" s="3" t="s">
        <v>110</v>
      </c>
      <c r="H147" s="3">
        <v>7500</v>
      </c>
      <c r="I147" s="53"/>
    </row>
    <row r="148" spans="1:9" ht="15.75">
      <c r="A148" s="4">
        <v>147</v>
      </c>
      <c r="B148" s="3" t="s">
        <v>4</v>
      </c>
      <c r="C148" s="3" t="s">
        <v>34</v>
      </c>
      <c r="D148" s="3" t="s">
        <v>24</v>
      </c>
      <c r="E148" s="3">
        <v>2.7</v>
      </c>
      <c r="F148" s="3" t="s">
        <v>24</v>
      </c>
      <c r="G148" s="3" t="s">
        <v>118</v>
      </c>
      <c r="H148" s="3">
        <v>7200</v>
      </c>
      <c r="I148" s="53"/>
    </row>
    <row r="149" spans="1:9" ht="15.75">
      <c r="A149" s="4">
        <v>148</v>
      </c>
      <c r="B149" s="3" t="s">
        <v>1</v>
      </c>
      <c r="C149" s="3" t="s">
        <v>34</v>
      </c>
      <c r="D149" s="3" t="s">
        <v>3</v>
      </c>
      <c r="E149" s="3">
        <v>3.7</v>
      </c>
      <c r="F149" s="3" t="s">
        <v>3</v>
      </c>
      <c r="G149" s="3" t="s">
        <v>119</v>
      </c>
      <c r="H149" s="3">
        <v>7900</v>
      </c>
      <c r="I149" s="53"/>
    </row>
    <row r="150" spans="1:9" ht="15.75">
      <c r="A150" s="4">
        <v>149</v>
      </c>
      <c r="B150" s="3" t="s">
        <v>4</v>
      </c>
      <c r="C150" s="3" t="s">
        <v>34</v>
      </c>
      <c r="D150" s="3" t="s">
        <v>15</v>
      </c>
      <c r="E150" s="3">
        <v>3.7</v>
      </c>
      <c r="F150" s="3" t="s">
        <v>15</v>
      </c>
      <c r="G150" s="3" t="s">
        <v>112</v>
      </c>
      <c r="H150" s="3">
        <v>7500</v>
      </c>
      <c r="I150" s="53"/>
    </row>
    <row r="151" spans="1:9" ht="15.75">
      <c r="A151" s="4">
        <v>150</v>
      </c>
      <c r="B151" s="3" t="s">
        <v>1</v>
      </c>
      <c r="C151" s="3" t="s">
        <v>34</v>
      </c>
      <c r="D151" s="3" t="s">
        <v>10</v>
      </c>
      <c r="E151" s="3">
        <v>2</v>
      </c>
      <c r="F151" s="3" t="s">
        <v>10</v>
      </c>
      <c r="G151" s="3" t="s">
        <v>112</v>
      </c>
      <c r="H151" s="3">
        <v>5100</v>
      </c>
      <c r="I151" s="53"/>
    </row>
    <row r="152" spans="1:9" ht="15.75">
      <c r="A152" s="4">
        <v>151</v>
      </c>
      <c r="B152" s="3" t="s">
        <v>4</v>
      </c>
      <c r="C152" s="3" t="s">
        <v>34</v>
      </c>
      <c r="D152" s="3" t="s">
        <v>3</v>
      </c>
      <c r="E152" s="3">
        <v>2.2000000000000002</v>
      </c>
      <c r="F152" s="3" t="s">
        <v>3</v>
      </c>
      <c r="G152" s="3" t="s">
        <v>112</v>
      </c>
      <c r="H152" s="3">
        <v>6000</v>
      </c>
      <c r="I152" s="53"/>
    </row>
    <row r="153" spans="1:9" ht="15.75">
      <c r="A153" s="4">
        <v>152</v>
      </c>
      <c r="B153" s="3" t="s">
        <v>1</v>
      </c>
      <c r="C153" s="3" t="s">
        <v>34</v>
      </c>
      <c r="D153" s="3" t="s">
        <v>16</v>
      </c>
      <c r="E153" s="3">
        <v>1.5</v>
      </c>
      <c r="F153" s="3" t="s">
        <v>113</v>
      </c>
      <c r="G153" s="3" t="s">
        <v>112</v>
      </c>
      <c r="H153" s="3">
        <v>5600</v>
      </c>
      <c r="I153" s="53"/>
    </row>
    <row r="154" spans="1:9" ht="15.75">
      <c r="A154" s="4">
        <v>153</v>
      </c>
      <c r="B154" s="3" t="s">
        <v>4</v>
      </c>
      <c r="C154" s="3" t="s">
        <v>34</v>
      </c>
      <c r="D154" s="3" t="s">
        <v>29</v>
      </c>
      <c r="E154" s="3">
        <v>2.1</v>
      </c>
      <c r="F154" s="3" t="s">
        <v>101</v>
      </c>
      <c r="G154" s="3" t="s">
        <v>112</v>
      </c>
      <c r="H154" s="3">
        <v>6900</v>
      </c>
      <c r="I154" s="53"/>
    </row>
    <row r="155" spans="1:9" ht="15.75">
      <c r="A155" s="4">
        <v>154</v>
      </c>
      <c r="B155" s="3" t="s">
        <v>4</v>
      </c>
      <c r="C155" s="3" t="s">
        <v>34</v>
      </c>
      <c r="D155" s="3" t="s">
        <v>3</v>
      </c>
      <c r="E155" s="3">
        <v>3.2</v>
      </c>
      <c r="F155" s="3" t="s">
        <v>3</v>
      </c>
      <c r="G155" s="3" t="s">
        <v>100</v>
      </c>
      <c r="H155" s="3">
        <v>7300</v>
      </c>
      <c r="I155" s="53"/>
    </row>
    <row r="156" spans="1:9" ht="15.75">
      <c r="A156" s="4">
        <v>155</v>
      </c>
      <c r="B156" s="3" t="s">
        <v>1</v>
      </c>
      <c r="C156" s="3" t="s">
        <v>34</v>
      </c>
      <c r="D156" s="3" t="s">
        <v>6</v>
      </c>
      <c r="E156" s="3">
        <v>2.8</v>
      </c>
      <c r="F156" s="3" t="s">
        <v>101</v>
      </c>
      <c r="G156" s="3" t="s">
        <v>112</v>
      </c>
      <c r="H156" s="3">
        <v>7200</v>
      </c>
      <c r="I156" s="53"/>
    </row>
    <row r="157" spans="1:9" ht="15.75">
      <c r="A157" s="4">
        <v>156</v>
      </c>
      <c r="B157" s="3" t="s">
        <v>4</v>
      </c>
      <c r="C157" s="3" t="s">
        <v>35</v>
      </c>
      <c r="D157" s="3" t="s">
        <v>15</v>
      </c>
      <c r="E157" s="3">
        <v>3.2</v>
      </c>
      <c r="F157" s="3" t="s">
        <v>105</v>
      </c>
      <c r="G157" s="3" t="s">
        <v>115</v>
      </c>
      <c r="H157" s="3">
        <v>6900</v>
      </c>
      <c r="I157" s="53"/>
    </row>
    <row r="158" spans="1:9" ht="15.75">
      <c r="A158" s="4">
        <v>157</v>
      </c>
      <c r="B158" s="3" t="s">
        <v>1</v>
      </c>
      <c r="C158" s="3" t="s">
        <v>35</v>
      </c>
      <c r="D158" s="3" t="s">
        <v>9</v>
      </c>
      <c r="E158" s="3">
        <v>3.7</v>
      </c>
      <c r="F158" s="3" t="s">
        <v>9</v>
      </c>
      <c r="G158" s="3" t="s">
        <v>103</v>
      </c>
      <c r="H158" s="3">
        <v>7500</v>
      </c>
      <c r="I158" s="53"/>
    </row>
    <row r="159" spans="1:9" ht="15.75">
      <c r="A159" s="4">
        <v>158</v>
      </c>
      <c r="B159" s="3" t="s">
        <v>1</v>
      </c>
      <c r="C159" s="3" t="s">
        <v>35</v>
      </c>
      <c r="D159" s="3" t="s">
        <v>3</v>
      </c>
      <c r="E159" s="3">
        <v>1.5</v>
      </c>
      <c r="F159" s="3" t="s">
        <v>3</v>
      </c>
      <c r="G159" s="3" t="s">
        <v>103</v>
      </c>
      <c r="H159" s="3">
        <v>6300</v>
      </c>
      <c r="I159" s="53"/>
    </row>
    <row r="160" spans="1:9" ht="15.75">
      <c r="A160" s="4">
        <v>159</v>
      </c>
      <c r="B160" s="3" t="s">
        <v>1</v>
      </c>
      <c r="C160" s="3" t="s">
        <v>35</v>
      </c>
      <c r="D160" s="3" t="s">
        <v>7</v>
      </c>
      <c r="E160" s="3">
        <v>1.5</v>
      </c>
      <c r="F160" s="3" t="s">
        <v>105</v>
      </c>
      <c r="G160" s="3" t="s">
        <v>106</v>
      </c>
      <c r="H160" s="3">
        <v>6900</v>
      </c>
      <c r="I160" s="53"/>
    </row>
    <row r="161" spans="1:9" ht="15.75">
      <c r="A161" s="4">
        <v>160</v>
      </c>
      <c r="B161" s="3" t="s">
        <v>4</v>
      </c>
      <c r="C161" s="3" t="s">
        <v>35</v>
      </c>
      <c r="D161" s="3" t="s">
        <v>3</v>
      </c>
      <c r="E161" s="3">
        <v>2</v>
      </c>
      <c r="F161" s="3" t="s">
        <v>3</v>
      </c>
      <c r="G161" s="3" t="s">
        <v>85</v>
      </c>
      <c r="H161" s="3">
        <v>6600</v>
      </c>
      <c r="I161" s="53"/>
    </row>
    <row r="162" spans="1:9" ht="15.75">
      <c r="A162" s="4">
        <v>161</v>
      </c>
      <c r="B162" s="3" t="s">
        <v>4</v>
      </c>
      <c r="C162" s="3" t="s">
        <v>35</v>
      </c>
      <c r="D162" s="3" t="s">
        <v>3</v>
      </c>
      <c r="E162" s="3">
        <v>3.7</v>
      </c>
      <c r="F162" s="3" t="s">
        <v>3</v>
      </c>
      <c r="G162" s="3" t="s">
        <v>85</v>
      </c>
      <c r="H162" s="3">
        <v>7900</v>
      </c>
      <c r="I162" s="53"/>
    </row>
    <row r="163" spans="1:9" ht="15.75">
      <c r="A163" s="4">
        <v>162</v>
      </c>
      <c r="B163" s="3" t="s">
        <v>4</v>
      </c>
      <c r="C163" s="3" t="s">
        <v>35</v>
      </c>
      <c r="D163" s="3" t="s">
        <v>6</v>
      </c>
      <c r="E163" s="3">
        <v>2.8</v>
      </c>
      <c r="F163" s="3" t="s">
        <v>101</v>
      </c>
      <c r="G163" s="3" t="s">
        <v>85</v>
      </c>
      <c r="H163" s="3">
        <v>6600</v>
      </c>
      <c r="I163" s="53"/>
    </row>
    <row r="164" spans="1:9" ht="15.75">
      <c r="A164" s="4">
        <v>163</v>
      </c>
      <c r="B164" s="3" t="s">
        <v>4</v>
      </c>
      <c r="C164" s="3" t="s">
        <v>35</v>
      </c>
      <c r="D164" s="3" t="s">
        <v>8</v>
      </c>
      <c r="E164" s="3">
        <v>2.2000000000000002</v>
      </c>
      <c r="F164" s="3" t="s">
        <v>92</v>
      </c>
      <c r="G164" s="3" t="s">
        <v>85</v>
      </c>
      <c r="H164" s="3">
        <v>6000</v>
      </c>
      <c r="I164" s="53"/>
    </row>
    <row r="165" spans="1:9" ht="15.75">
      <c r="A165" s="4">
        <v>164</v>
      </c>
      <c r="B165" s="3" t="s">
        <v>1</v>
      </c>
      <c r="C165" s="3" t="s">
        <v>35</v>
      </c>
      <c r="D165" s="3" t="s">
        <v>6</v>
      </c>
      <c r="E165" s="3">
        <v>3.1</v>
      </c>
      <c r="F165" s="3" t="s">
        <v>101</v>
      </c>
      <c r="G165" s="3" t="s">
        <v>93</v>
      </c>
      <c r="H165" s="3">
        <v>8000</v>
      </c>
      <c r="I165" s="53"/>
    </row>
    <row r="166" spans="1:9" ht="15.75">
      <c r="A166" s="4">
        <v>165</v>
      </c>
      <c r="B166" s="3" t="s">
        <v>1</v>
      </c>
      <c r="C166" s="3" t="s">
        <v>35</v>
      </c>
      <c r="D166" s="3" t="s">
        <v>29</v>
      </c>
      <c r="E166" s="3">
        <v>3.4</v>
      </c>
      <c r="F166" s="3" t="s">
        <v>29</v>
      </c>
      <c r="G166" s="3" t="s">
        <v>117</v>
      </c>
      <c r="H166" s="3">
        <v>7200</v>
      </c>
      <c r="I166" s="53"/>
    </row>
    <row r="167" spans="1:9" ht="15.75">
      <c r="A167" s="4">
        <v>166</v>
      </c>
      <c r="B167" s="3" t="s">
        <v>1</v>
      </c>
      <c r="C167" s="3" t="s">
        <v>35</v>
      </c>
      <c r="D167" s="3" t="s">
        <v>3</v>
      </c>
      <c r="E167" s="3">
        <v>2.5</v>
      </c>
      <c r="F167" s="3" t="s">
        <v>3</v>
      </c>
      <c r="G167" s="3" t="s">
        <v>93</v>
      </c>
      <c r="H167" s="3">
        <v>7800</v>
      </c>
      <c r="I167" s="53"/>
    </row>
    <row r="168" spans="1:9" ht="15.75">
      <c r="A168" s="4">
        <v>167</v>
      </c>
      <c r="B168" s="3" t="s">
        <v>1</v>
      </c>
      <c r="C168" s="3" t="s">
        <v>35</v>
      </c>
      <c r="D168" s="3" t="s">
        <v>15</v>
      </c>
      <c r="E168" s="3">
        <v>2.2000000000000002</v>
      </c>
      <c r="F168" s="3" t="s">
        <v>15</v>
      </c>
      <c r="G168" s="3" t="s">
        <v>117</v>
      </c>
      <c r="H168" s="3">
        <v>6800</v>
      </c>
      <c r="I168" s="53"/>
    </row>
    <row r="169" spans="1:9" ht="15.75">
      <c r="A169" s="4">
        <v>168</v>
      </c>
      <c r="B169" s="3" t="s">
        <v>4</v>
      </c>
      <c r="C169" s="3" t="s">
        <v>35</v>
      </c>
      <c r="D169" s="3" t="s">
        <v>10</v>
      </c>
      <c r="E169" s="3">
        <v>2.7</v>
      </c>
      <c r="F169" s="3" t="s">
        <v>105</v>
      </c>
      <c r="G169" s="3" t="s">
        <v>93</v>
      </c>
      <c r="H169" s="3">
        <v>8500</v>
      </c>
      <c r="I169" s="53"/>
    </row>
    <row r="170" spans="1:9" ht="15.75">
      <c r="A170" s="4">
        <v>169</v>
      </c>
      <c r="B170" s="3" t="s">
        <v>1</v>
      </c>
      <c r="C170" s="3" t="s">
        <v>35</v>
      </c>
      <c r="D170" s="3" t="s">
        <v>3</v>
      </c>
      <c r="E170" s="3">
        <v>3.7</v>
      </c>
      <c r="F170" s="3" t="s">
        <v>3</v>
      </c>
      <c r="G170" s="3" t="s">
        <v>93</v>
      </c>
      <c r="H170" s="3">
        <v>9000</v>
      </c>
      <c r="I170" s="53"/>
    </row>
    <row r="171" spans="1:9" ht="15.75">
      <c r="A171" s="4">
        <v>170</v>
      </c>
      <c r="B171" s="3" t="s">
        <v>1</v>
      </c>
      <c r="C171" s="3" t="s">
        <v>35</v>
      </c>
      <c r="D171" s="3" t="s">
        <v>3</v>
      </c>
      <c r="E171" s="3">
        <v>3.7</v>
      </c>
      <c r="F171" s="3" t="s">
        <v>3</v>
      </c>
      <c r="G171" s="3" t="s">
        <v>117</v>
      </c>
      <c r="H171" s="3">
        <v>7400</v>
      </c>
      <c r="I171" s="53"/>
    </row>
    <row r="172" spans="1:9" ht="15.75">
      <c r="A172" s="4">
        <v>171</v>
      </c>
      <c r="B172" s="3" t="s">
        <v>1</v>
      </c>
      <c r="C172" s="3" t="s">
        <v>35</v>
      </c>
      <c r="D172" s="3" t="s">
        <v>3</v>
      </c>
      <c r="E172" s="3">
        <v>3.1</v>
      </c>
      <c r="F172" s="3" t="s">
        <v>3</v>
      </c>
      <c r="G172" s="3" t="s">
        <v>93</v>
      </c>
      <c r="H172" s="3">
        <v>9000</v>
      </c>
      <c r="I172" s="53"/>
    </row>
    <row r="173" spans="1:9" ht="15.75">
      <c r="A173" s="4">
        <v>172</v>
      </c>
      <c r="B173" s="3" t="s">
        <v>1</v>
      </c>
      <c r="C173" s="3" t="s">
        <v>35</v>
      </c>
      <c r="D173" s="3" t="s">
        <v>27</v>
      </c>
      <c r="E173" s="3">
        <v>1.5</v>
      </c>
      <c r="F173" s="3" t="s">
        <v>92</v>
      </c>
      <c r="G173" s="3" t="s">
        <v>93</v>
      </c>
      <c r="H173" s="3">
        <v>6800</v>
      </c>
      <c r="I173" s="53"/>
    </row>
    <row r="174" spans="1:9" ht="15.75">
      <c r="A174" s="4">
        <v>173</v>
      </c>
      <c r="B174" s="3" t="s">
        <v>1</v>
      </c>
      <c r="C174" s="3" t="s">
        <v>35</v>
      </c>
      <c r="D174" s="3" t="s">
        <v>3</v>
      </c>
      <c r="E174" s="3">
        <v>3.7</v>
      </c>
      <c r="F174" s="3" t="s">
        <v>3</v>
      </c>
      <c r="G174" s="3" t="s">
        <v>117</v>
      </c>
      <c r="H174" s="3">
        <v>7300</v>
      </c>
      <c r="I174" s="53"/>
    </row>
    <row r="175" spans="1:9" ht="15.75">
      <c r="A175" s="4">
        <v>174</v>
      </c>
      <c r="B175" s="3" t="s">
        <v>4</v>
      </c>
      <c r="C175" s="3" t="s">
        <v>35</v>
      </c>
      <c r="D175" s="3" t="s">
        <v>26</v>
      </c>
      <c r="E175" s="3">
        <v>1.9</v>
      </c>
      <c r="F175" s="3" t="s">
        <v>26</v>
      </c>
      <c r="G175" s="3" t="s">
        <v>93</v>
      </c>
      <c r="H175" s="3">
        <v>7000</v>
      </c>
      <c r="I175" s="53"/>
    </row>
    <row r="176" spans="1:9" ht="15.75">
      <c r="A176" s="4">
        <v>175</v>
      </c>
      <c r="B176" s="3" t="s">
        <v>4</v>
      </c>
      <c r="C176" s="3" t="s">
        <v>35</v>
      </c>
      <c r="D176" s="3" t="s">
        <v>11</v>
      </c>
      <c r="E176" s="3">
        <v>1.8</v>
      </c>
      <c r="F176" s="3" t="s">
        <v>92</v>
      </c>
      <c r="G176" s="3" t="s">
        <v>117</v>
      </c>
      <c r="H176" s="3">
        <v>7500</v>
      </c>
      <c r="I176" s="53"/>
    </row>
    <row r="177" spans="1:9" ht="15.75">
      <c r="A177" s="4">
        <v>176</v>
      </c>
      <c r="B177" s="3" t="s">
        <v>1</v>
      </c>
      <c r="C177" s="3" t="s">
        <v>35</v>
      </c>
      <c r="D177" s="3" t="s">
        <v>3</v>
      </c>
      <c r="E177" s="3">
        <v>1.9</v>
      </c>
      <c r="F177" s="3" t="s">
        <v>3</v>
      </c>
      <c r="G177" s="3" t="s">
        <v>117</v>
      </c>
      <c r="H177" s="3">
        <v>6400</v>
      </c>
      <c r="I177" s="53"/>
    </row>
    <row r="178" spans="1:9" ht="15.75">
      <c r="A178" s="4">
        <v>177</v>
      </c>
      <c r="B178" s="3" t="s">
        <v>4</v>
      </c>
      <c r="C178" s="3" t="s">
        <v>35</v>
      </c>
      <c r="D178" s="3" t="s">
        <v>11</v>
      </c>
      <c r="E178" s="3">
        <v>3.7</v>
      </c>
      <c r="F178" s="3" t="s">
        <v>11</v>
      </c>
      <c r="G178" s="3" t="s">
        <v>110</v>
      </c>
      <c r="H178" s="3">
        <v>7800</v>
      </c>
      <c r="I178" s="53"/>
    </row>
    <row r="179" spans="1:9" ht="15.75">
      <c r="A179" s="4">
        <v>178</v>
      </c>
      <c r="B179" s="3" t="s">
        <v>4</v>
      </c>
      <c r="C179" s="3" t="s">
        <v>35</v>
      </c>
      <c r="D179" s="3" t="s">
        <v>16</v>
      </c>
      <c r="E179" s="3">
        <v>2.8</v>
      </c>
      <c r="F179" s="3" t="s">
        <v>16</v>
      </c>
      <c r="G179" s="3" t="s">
        <v>96</v>
      </c>
      <c r="H179" s="3">
        <v>6700</v>
      </c>
      <c r="I179" s="53"/>
    </row>
    <row r="180" spans="1:9" ht="15.75">
      <c r="A180" s="4">
        <v>179</v>
      </c>
      <c r="B180" s="3" t="s">
        <v>4</v>
      </c>
      <c r="C180" s="3" t="s">
        <v>35</v>
      </c>
      <c r="D180" s="3" t="s">
        <v>10</v>
      </c>
      <c r="E180" s="3">
        <v>2.5</v>
      </c>
      <c r="F180" s="3" t="s">
        <v>10</v>
      </c>
      <c r="G180" s="3" t="s">
        <v>96</v>
      </c>
      <c r="H180" s="3">
        <v>7100</v>
      </c>
      <c r="I180" s="53"/>
    </row>
    <row r="181" spans="1:9" ht="15.75">
      <c r="A181" s="4">
        <v>180</v>
      </c>
      <c r="B181" s="3" t="s">
        <v>4</v>
      </c>
      <c r="C181" s="3" t="s">
        <v>35</v>
      </c>
      <c r="D181" s="3" t="s">
        <v>25</v>
      </c>
      <c r="E181" s="3">
        <v>2.2000000000000002</v>
      </c>
      <c r="F181" s="3" t="s">
        <v>25</v>
      </c>
      <c r="G181" s="3" t="s">
        <v>100</v>
      </c>
      <c r="H181" s="3">
        <v>6500</v>
      </c>
      <c r="I181" s="53"/>
    </row>
    <row r="182" spans="1:9" ht="15.75">
      <c r="A182" s="4">
        <v>181</v>
      </c>
      <c r="B182" s="3" t="s">
        <v>1</v>
      </c>
      <c r="C182" s="3" t="s">
        <v>35</v>
      </c>
      <c r="D182" s="3" t="s">
        <v>23</v>
      </c>
      <c r="E182" s="3">
        <v>2.1</v>
      </c>
      <c r="F182" s="3" t="s">
        <v>23</v>
      </c>
      <c r="G182" s="3" t="s">
        <v>112</v>
      </c>
      <c r="H182" s="3">
        <v>5400</v>
      </c>
      <c r="I182" s="53"/>
    </row>
    <row r="183" spans="1:9" ht="15.75">
      <c r="A183" s="4">
        <v>182</v>
      </c>
      <c r="B183" s="3" t="s">
        <v>1</v>
      </c>
      <c r="C183" s="3" t="s">
        <v>35</v>
      </c>
      <c r="D183" s="3" t="s">
        <v>28</v>
      </c>
      <c r="E183" s="3">
        <v>3.3</v>
      </c>
      <c r="F183" s="3" t="s">
        <v>28</v>
      </c>
      <c r="G183" s="3" t="s">
        <v>112</v>
      </c>
      <c r="H183" s="3">
        <v>7600</v>
      </c>
      <c r="I183" s="53"/>
    </row>
    <row r="184" spans="1:9" ht="15.75">
      <c r="A184" s="4">
        <v>183</v>
      </c>
      <c r="B184" s="3" t="s">
        <v>1</v>
      </c>
      <c r="C184" s="3" t="s">
        <v>35</v>
      </c>
      <c r="D184" s="3" t="s">
        <v>21</v>
      </c>
      <c r="E184" s="3">
        <v>1.5</v>
      </c>
      <c r="F184" s="3" t="s">
        <v>21</v>
      </c>
      <c r="G184" s="3" t="s">
        <v>112</v>
      </c>
      <c r="H184" s="3">
        <v>6400</v>
      </c>
      <c r="I184" s="53"/>
    </row>
    <row r="185" spans="1:9" ht="15.75">
      <c r="A185" s="4">
        <v>184</v>
      </c>
      <c r="B185" s="3" t="s">
        <v>1</v>
      </c>
      <c r="C185" s="3" t="s">
        <v>36</v>
      </c>
      <c r="D185" s="3" t="s">
        <v>16</v>
      </c>
      <c r="E185" s="3">
        <v>3.1</v>
      </c>
      <c r="F185" s="3" t="s">
        <v>108</v>
      </c>
      <c r="G185" s="3" t="s">
        <v>102</v>
      </c>
      <c r="H185" s="3">
        <v>6700</v>
      </c>
      <c r="I185" s="53"/>
    </row>
    <row r="186" spans="1:9" ht="15.75">
      <c r="A186" s="4">
        <v>185</v>
      </c>
      <c r="B186" s="3" t="s">
        <v>4</v>
      </c>
      <c r="C186" s="3" t="s">
        <v>36</v>
      </c>
      <c r="D186" s="3" t="s">
        <v>5</v>
      </c>
      <c r="E186" s="3">
        <v>2.2000000000000002</v>
      </c>
      <c r="F186" s="3" t="s">
        <v>105</v>
      </c>
      <c r="G186" s="3" t="s">
        <v>115</v>
      </c>
      <c r="H186" s="3">
        <v>6700</v>
      </c>
      <c r="I186" s="53"/>
    </row>
    <row r="187" spans="1:9" ht="15.75">
      <c r="A187" s="4">
        <v>186</v>
      </c>
      <c r="B187" s="3" t="s">
        <v>1</v>
      </c>
      <c r="C187" s="3" t="s">
        <v>36</v>
      </c>
      <c r="D187" s="3" t="s">
        <v>12</v>
      </c>
      <c r="E187" s="3">
        <v>2</v>
      </c>
      <c r="F187" s="3" t="s">
        <v>12</v>
      </c>
      <c r="G187" s="3" t="s">
        <v>103</v>
      </c>
      <c r="H187" s="3">
        <v>6400</v>
      </c>
      <c r="I187" s="53"/>
    </row>
    <row r="188" spans="1:9" ht="15.75">
      <c r="A188" s="4">
        <v>187</v>
      </c>
      <c r="B188" s="3" t="s">
        <v>1</v>
      </c>
      <c r="C188" s="3" t="s">
        <v>36</v>
      </c>
      <c r="D188" s="3" t="s">
        <v>3</v>
      </c>
      <c r="E188" s="3">
        <v>3.7</v>
      </c>
      <c r="F188" s="3" t="s">
        <v>3</v>
      </c>
      <c r="G188" s="3" t="s">
        <v>104</v>
      </c>
      <c r="H188" s="3">
        <v>7300</v>
      </c>
      <c r="I188" s="53"/>
    </row>
    <row r="189" spans="1:9" ht="15.75">
      <c r="A189" s="4">
        <v>188</v>
      </c>
      <c r="B189" s="3" t="s">
        <v>4</v>
      </c>
      <c r="C189" s="3" t="s">
        <v>36</v>
      </c>
      <c r="D189" s="3" t="s">
        <v>21</v>
      </c>
      <c r="E189" s="3">
        <v>2.5</v>
      </c>
      <c r="F189" s="3" t="s">
        <v>21</v>
      </c>
      <c r="G189" s="3" t="s">
        <v>106</v>
      </c>
      <c r="H189" s="3">
        <v>7200</v>
      </c>
      <c r="I189" s="53"/>
    </row>
    <row r="190" spans="1:9" ht="15.75">
      <c r="A190" s="4">
        <v>189</v>
      </c>
      <c r="B190" s="3" t="s">
        <v>4</v>
      </c>
      <c r="C190" s="3" t="s">
        <v>36</v>
      </c>
      <c r="D190" s="3" t="s">
        <v>3</v>
      </c>
      <c r="E190" s="3">
        <v>2.1</v>
      </c>
      <c r="F190" s="3" t="s">
        <v>3</v>
      </c>
      <c r="G190" s="3" t="s">
        <v>107</v>
      </c>
      <c r="H190" s="3">
        <v>5500</v>
      </c>
      <c r="I190" s="53"/>
    </row>
    <row r="191" spans="1:9" ht="15.75">
      <c r="A191" s="4">
        <v>190</v>
      </c>
      <c r="B191" s="3" t="s">
        <v>1</v>
      </c>
      <c r="C191" s="3" t="s">
        <v>36</v>
      </c>
      <c r="D191" s="3" t="s">
        <v>14</v>
      </c>
      <c r="E191" s="3">
        <v>1.5</v>
      </c>
      <c r="F191" s="3" t="s">
        <v>108</v>
      </c>
      <c r="G191" s="3" t="s">
        <v>107</v>
      </c>
      <c r="H191" s="3">
        <v>6300</v>
      </c>
      <c r="I191" s="53"/>
    </row>
    <row r="192" spans="1:9" ht="15.75">
      <c r="A192" s="4">
        <v>191</v>
      </c>
      <c r="B192" s="3" t="s">
        <v>1</v>
      </c>
      <c r="C192" s="3" t="s">
        <v>36</v>
      </c>
      <c r="D192" s="3" t="s">
        <v>13</v>
      </c>
      <c r="E192" s="3">
        <v>2</v>
      </c>
      <c r="F192" s="3" t="s">
        <v>13</v>
      </c>
      <c r="G192" s="3" t="s">
        <v>106</v>
      </c>
      <c r="H192" s="3">
        <v>6000</v>
      </c>
      <c r="I192" s="53"/>
    </row>
    <row r="193" spans="1:9" ht="15.75">
      <c r="A193" s="4">
        <v>192</v>
      </c>
      <c r="B193" s="3" t="s">
        <v>4</v>
      </c>
      <c r="C193" s="3" t="s">
        <v>36</v>
      </c>
      <c r="D193" s="3" t="s">
        <v>28</v>
      </c>
      <c r="E193" s="3">
        <v>3.7</v>
      </c>
      <c r="F193" s="3" t="s">
        <v>28</v>
      </c>
      <c r="G193" s="3" t="s">
        <v>107</v>
      </c>
      <c r="H193" s="3">
        <v>7300</v>
      </c>
      <c r="I193" s="53"/>
    </row>
    <row r="194" spans="1:9" ht="15.75">
      <c r="A194" s="4">
        <v>193</v>
      </c>
      <c r="B194" s="3" t="s">
        <v>1</v>
      </c>
      <c r="C194" s="3" t="s">
        <v>36</v>
      </c>
      <c r="D194" s="3" t="s">
        <v>12</v>
      </c>
      <c r="E194" s="3">
        <v>2.5</v>
      </c>
      <c r="F194" s="3" t="s">
        <v>92</v>
      </c>
      <c r="G194" s="3" t="s">
        <v>106</v>
      </c>
      <c r="H194" s="3">
        <v>6400</v>
      </c>
      <c r="I194" s="53"/>
    </row>
    <row r="195" spans="1:9" ht="15.75">
      <c r="A195" s="4">
        <v>194</v>
      </c>
      <c r="B195" s="3" t="s">
        <v>1</v>
      </c>
      <c r="C195" s="3" t="s">
        <v>36</v>
      </c>
      <c r="D195" s="3" t="s">
        <v>28</v>
      </c>
      <c r="E195" s="3">
        <v>2.9</v>
      </c>
      <c r="F195" s="3" t="s">
        <v>105</v>
      </c>
      <c r="G195" s="3" t="s">
        <v>106</v>
      </c>
      <c r="H195" s="3">
        <v>6900</v>
      </c>
      <c r="I195" s="53"/>
    </row>
    <row r="196" spans="1:9" ht="15.75">
      <c r="A196" s="4">
        <v>195</v>
      </c>
      <c r="B196" s="3" t="s">
        <v>1</v>
      </c>
      <c r="C196" s="3" t="s">
        <v>36</v>
      </c>
      <c r="D196" s="3" t="s">
        <v>3</v>
      </c>
      <c r="E196" s="3">
        <v>1.5</v>
      </c>
      <c r="F196" s="3" t="s">
        <v>3</v>
      </c>
      <c r="G196" s="3" t="s">
        <v>106</v>
      </c>
      <c r="H196" s="3">
        <v>6000</v>
      </c>
      <c r="I196" s="53"/>
    </row>
    <row r="197" spans="1:9" ht="15.75">
      <c r="A197" s="4">
        <v>196</v>
      </c>
      <c r="B197" s="3" t="s">
        <v>1</v>
      </c>
      <c r="C197" s="3" t="s">
        <v>36</v>
      </c>
      <c r="D197" s="3" t="s">
        <v>20</v>
      </c>
      <c r="E197" s="3">
        <v>2.7</v>
      </c>
      <c r="F197" s="3" t="s">
        <v>101</v>
      </c>
      <c r="G197" s="3" t="s">
        <v>107</v>
      </c>
      <c r="H197" s="3">
        <v>6900</v>
      </c>
      <c r="I197" s="53"/>
    </row>
    <row r="198" spans="1:9" ht="15.75">
      <c r="A198" s="4">
        <v>197</v>
      </c>
      <c r="B198" s="3" t="s">
        <v>4</v>
      </c>
      <c r="C198" s="3" t="s">
        <v>36</v>
      </c>
      <c r="D198" s="3" t="s">
        <v>10</v>
      </c>
      <c r="E198" s="3">
        <v>2</v>
      </c>
      <c r="F198" s="3" t="s">
        <v>10</v>
      </c>
      <c r="G198" s="3" t="s">
        <v>106</v>
      </c>
      <c r="H198" s="3">
        <v>6000</v>
      </c>
      <c r="I198" s="53"/>
    </row>
    <row r="199" spans="1:9" ht="15.75">
      <c r="A199" s="4">
        <v>198</v>
      </c>
      <c r="B199" s="3" t="s">
        <v>4</v>
      </c>
      <c r="C199" s="3" t="s">
        <v>36</v>
      </c>
      <c r="D199" s="3" t="s">
        <v>3</v>
      </c>
      <c r="E199" s="3">
        <v>1.6</v>
      </c>
      <c r="F199" s="3" t="s">
        <v>3</v>
      </c>
      <c r="G199" s="3" t="s">
        <v>106</v>
      </c>
      <c r="H199" s="3">
        <v>6400</v>
      </c>
      <c r="I199" s="53"/>
    </row>
    <row r="200" spans="1:9" ht="15.75">
      <c r="A200" s="4">
        <v>199</v>
      </c>
      <c r="B200" s="3" t="s">
        <v>1</v>
      </c>
      <c r="C200" s="3" t="s">
        <v>36</v>
      </c>
      <c r="D200" s="3" t="s">
        <v>3</v>
      </c>
      <c r="E200" s="3">
        <v>2.2999999999999998</v>
      </c>
      <c r="F200" s="3" t="s">
        <v>3</v>
      </c>
      <c r="G200" s="3" t="s">
        <v>106</v>
      </c>
      <c r="H200" s="3">
        <v>6200</v>
      </c>
      <c r="I200" s="53"/>
    </row>
    <row r="201" spans="1:9" ht="15.75">
      <c r="A201" s="4">
        <v>200</v>
      </c>
      <c r="B201" s="3" t="s">
        <v>1</v>
      </c>
      <c r="C201" s="3" t="s">
        <v>36</v>
      </c>
      <c r="D201" s="3" t="s">
        <v>19</v>
      </c>
      <c r="E201" s="3">
        <v>2.2999999999999998</v>
      </c>
      <c r="F201" s="3" t="s">
        <v>19</v>
      </c>
      <c r="G201" s="3" t="s">
        <v>106</v>
      </c>
      <c r="H201" s="3">
        <v>6100</v>
      </c>
      <c r="I201" s="53"/>
    </row>
    <row r="202" spans="1:9" ht="15.75">
      <c r="A202" s="4">
        <v>201</v>
      </c>
      <c r="B202" s="3" t="s">
        <v>4</v>
      </c>
      <c r="C202" s="3" t="s">
        <v>36</v>
      </c>
      <c r="D202" s="3" t="s">
        <v>11</v>
      </c>
      <c r="E202" s="3">
        <v>3.5</v>
      </c>
      <c r="F202" s="3" t="s">
        <v>11</v>
      </c>
      <c r="G202" s="3" t="s">
        <v>106</v>
      </c>
      <c r="H202" s="3">
        <v>7600</v>
      </c>
      <c r="I202" s="53"/>
    </row>
    <row r="203" spans="1:9" ht="15.75">
      <c r="A203" s="4">
        <v>202</v>
      </c>
      <c r="B203" s="3" t="s">
        <v>1</v>
      </c>
      <c r="C203" s="3" t="s">
        <v>36</v>
      </c>
      <c r="D203" s="3" t="s">
        <v>9</v>
      </c>
      <c r="E203" s="3">
        <v>2.1</v>
      </c>
      <c r="F203" s="3" t="s">
        <v>9</v>
      </c>
      <c r="G203" s="3" t="s">
        <v>106</v>
      </c>
      <c r="H203" s="3">
        <v>6500</v>
      </c>
      <c r="I203" s="53"/>
    </row>
    <row r="204" spans="1:9" ht="15.75">
      <c r="A204" s="4">
        <v>203</v>
      </c>
      <c r="B204" s="3" t="s">
        <v>4</v>
      </c>
      <c r="C204" s="3" t="s">
        <v>36</v>
      </c>
      <c r="D204" s="3" t="s">
        <v>23</v>
      </c>
      <c r="E204" s="3">
        <v>3.7</v>
      </c>
      <c r="F204" s="3" t="s">
        <v>101</v>
      </c>
      <c r="G204" s="3" t="s">
        <v>106</v>
      </c>
      <c r="H204" s="3">
        <v>9000</v>
      </c>
      <c r="I204" s="53"/>
    </row>
    <row r="205" spans="1:9" ht="15.75">
      <c r="A205" s="4">
        <v>204</v>
      </c>
      <c r="B205" s="3" t="s">
        <v>4</v>
      </c>
      <c r="C205" s="3" t="s">
        <v>36</v>
      </c>
      <c r="D205" s="3" t="s">
        <v>19</v>
      </c>
      <c r="E205" s="3">
        <v>1.5</v>
      </c>
      <c r="F205" s="3" t="s">
        <v>19</v>
      </c>
      <c r="G205" s="3" t="s">
        <v>85</v>
      </c>
      <c r="H205" s="3">
        <v>6400</v>
      </c>
      <c r="I205" s="53"/>
    </row>
    <row r="206" spans="1:9" ht="15.75">
      <c r="A206" s="4">
        <v>205</v>
      </c>
      <c r="B206" s="3" t="s">
        <v>4</v>
      </c>
      <c r="C206" s="3" t="s">
        <v>36</v>
      </c>
      <c r="D206" s="3" t="s">
        <v>3</v>
      </c>
      <c r="E206" s="3">
        <v>2.5</v>
      </c>
      <c r="F206" s="3" t="s">
        <v>3</v>
      </c>
      <c r="G206" s="3" t="s">
        <v>85</v>
      </c>
      <c r="H206" s="3">
        <v>6900</v>
      </c>
      <c r="I206" s="53"/>
    </row>
    <row r="207" spans="1:9" ht="15.75">
      <c r="A207" s="4">
        <v>206</v>
      </c>
      <c r="B207" s="3" t="s">
        <v>4</v>
      </c>
      <c r="C207" s="3" t="s">
        <v>36</v>
      </c>
      <c r="D207" s="3" t="s">
        <v>22</v>
      </c>
      <c r="E207" s="3">
        <v>3.7</v>
      </c>
      <c r="F207" s="3" t="s">
        <v>108</v>
      </c>
      <c r="G207" s="3" t="s">
        <v>117</v>
      </c>
      <c r="H207" s="3">
        <v>7300</v>
      </c>
      <c r="I207" s="53"/>
    </row>
    <row r="208" spans="1:9" ht="15.75">
      <c r="A208" s="4">
        <v>207</v>
      </c>
      <c r="B208" s="3" t="s">
        <v>4</v>
      </c>
      <c r="C208" s="3" t="s">
        <v>36</v>
      </c>
      <c r="D208" s="3" t="s">
        <v>10</v>
      </c>
      <c r="E208" s="3">
        <v>1.5</v>
      </c>
      <c r="F208" s="3" t="s">
        <v>105</v>
      </c>
      <c r="G208" s="3" t="s">
        <v>93</v>
      </c>
      <c r="H208" s="3">
        <v>5700</v>
      </c>
      <c r="I208" s="53"/>
    </row>
    <row r="209" spans="1:9" ht="15.75">
      <c r="A209" s="4">
        <v>208</v>
      </c>
      <c r="B209" s="3" t="s">
        <v>1</v>
      </c>
      <c r="C209" s="3" t="s">
        <v>36</v>
      </c>
      <c r="D209" s="3" t="s">
        <v>9</v>
      </c>
      <c r="E209" s="3">
        <v>3.2</v>
      </c>
      <c r="F209" s="3" t="s">
        <v>105</v>
      </c>
      <c r="G209" s="3" t="s">
        <v>93</v>
      </c>
      <c r="H209" s="3">
        <v>9000</v>
      </c>
      <c r="I209" s="53"/>
    </row>
    <row r="210" spans="1:9" ht="15.75">
      <c r="A210" s="4">
        <v>209</v>
      </c>
      <c r="B210" s="3" t="s">
        <v>4</v>
      </c>
      <c r="C210" s="3" t="s">
        <v>36</v>
      </c>
      <c r="D210" s="3" t="s">
        <v>3</v>
      </c>
      <c r="E210" s="3">
        <v>3.4</v>
      </c>
      <c r="F210" s="3" t="s">
        <v>3</v>
      </c>
      <c r="G210" s="3" t="s">
        <v>93</v>
      </c>
      <c r="H210" s="3">
        <v>7100</v>
      </c>
      <c r="I210" s="53"/>
    </row>
    <row r="211" spans="1:9" ht="15.75">
      <c r="A211" s="4">
        <v>210</v>
      </c>
      <c r="B211" s="3" t="s">
        <v>4</v>
      </c>
      <c r="C211" s="3" t="s">
        <v>36</v>
      </c>
      <c r="D211" s="3" t="s">
        <v>3</v>
      </c>
      <c r="E211" s="3">
        <v>3.3</v>
      </c>
      <c r="F211" s="3" t="s">
        <v>3</v>
      </c>
      <c r="G211" s="3" t="s">
        <v>96</v>
      </c>
      <c r="H211" s="3">
        <v>7400</v>
      </c>
      <c r="I211" s="53"/>
    </row>
    <row r="212" spans="1:9" ht="15.75">
      <c r="A212" s="4">
        <v>211</v>
      </c>
      <c r="B212" s="3" t="s">
        <v>4</v>
      </c>
      <c r="C212" s="3" t="s">
        <v>36</v>
      </c>
      <c r="D212" s="3" t="s">
        <v>20</v>
      </c>
      <c r="E212" s="3">
        <v>1.5</v>
      </c>
      <c r="F212" s="3" t="s">
        <v>122</v>
      </c>
      <c r="G212" s="3" t="s">
        <v>96</v>
      </c>
      <c r="H212" s="3">
        <v>5900</v>
      </c>
      <c r="I212" s="53"/>
    </row>
    <row r="213" spans="1:9" ht="15.75">
      <c r="A213" s="4">
        <v>212</v>
      </c>
      <c r="B213" s="3" t="s">
        <v>1</v>
      </c>
      <c r="C213" s="3" t="s">
        <v>36</v>
      </c>
      <c r="D213" s="3" t="s">
        <v>3</v>
      </c>
      <c r="E213" s="3">
        <v>1.5</v>
      </c>
      <c r="F213" s="3" t="s">
        <v>3</v>
      </c>
      <c r="G213" s="3" t="s">
        <v>111</v>
      </c>
      <c r="H213" s="3">
        <v>5900</v>
      </c>
      <c r="I213" s="53"/>
    </row>
    <row r="214" spans="1:9" ht="15.75">
      <c r="A214" s="4">
        <v>213</v>
      </c>
      <c r="B214" s="3" t="s">
        <v>4</v>
      </c>
      <c r="C214" s="3" t="s">
        <v>36</v>
      </c>
      <c r="D214" s="3" t="s">
        <v>22</v>
      </c>
      <c r="E214" s="3">
        <v>3.1</v>
      </c>
      <c r="F214" s="3" t="s">
        <v>105</v>
      </c>
      <c r="G214" s="3" t="s">
        <v>100</v>
      </c>
      <c r="H214" s="3">
        <v>6700</v>
      </c>
      <c r="I214" s="53"/>
    </row>
    <row r="215" spans="1:9" ht="15.75">
      <c r="A215" s="4">
        <v>214</v>
      </c>
      <c r="B215" s="3" t="s">
        <v>1</v>
      </c>
      <c r="C215" s="3" t="s">
        <v>36</v>
      </c>
      <c r="D215" s="3" t="s">
        <v>12</v>
      </c>
      <c r="E215" s="3">
        <v>3.4</v>
      </c>
      <c r="F215" s="3" t="s">
        <v>12</v>
      </c>
      <c r="G215" s="3" t="s">
        <v>112</v>
      </c>
      <c r="H215" s="3">
        <v>7300</v>
      </c>
      <c r="I215" s="53"/>
    </row>
    <row r="216" spans="1:9" ht="15.75">
      <c r="A216" s="4">
        <v>215</v>
      </c>
      <c r="B216" s="3" t="s">
        <v>1</v>
      </c>
      <c r="C216" s="3" t="s">
        <v>36</v>
      </c>
      <c r="D216" s="3" t="s">
        <v>12</v>
      </c>
      <c r="E216" s="3">
        <v>2.4</v>
      </c>
      <c r="F216" s="3" t="s">
        <v>12</v>
      </c>
      <c r="G216" s="3" t="s">
        <v>112</v>
      </c>
      <c r="H216" s="3">
        <v>6400</v>
      </c>
      <c r="I216" s="53"/>
    </row>
    <row r="217" spans="1:9" ht="15.75">
      <c r="A217" s="4">
        <v>216</v>
      </c>
      <c r="B217" s="3" t="s">
        <v>4</v>
      </c>
      <c r="C217" s="3" t="s">
        <v>36</v>
      </c>
      <c r="D217" s="3" t="s">
        <v>13</v>
      </c>
      <c r="E217" s="3">
        <v>1.7</v>
      </c>
      <c r="F217" s="3" t="s">
        <v>13</v>
      </c>
      <c r="G217" s="3" t="s">
        <v>100</v>
      </c>
      <c r="H217" s="3">
        <v>5600</v>
      </c>
      <c r="I217" s="53"/>
    </row>
    <row r="218" spans="1:9" ht="15.75">
      <c r="A218" s="4">
        <v>217</v>
      </c>
      <c r="B218" s="3" t="s">
        <v>1</v>
      </c>
      <c r="C218" s="3" t="s">
        <v>36</v>
      </c>
      <c r="D218" s="3" t="s">
        <v>3</v>
      </c>
      <c r="E218" s="3">
        <v>2.8</v>
      </c>
      <c r="F218" s="3" t="s">
        <v>3</v>
      </c>
      <c r="G218" s="3" t="s">
        <v>112</v>
      </c>
      <c r="H218" s="3">
        <v>7100</v>
      </c>
      <c r="I218" s="53"/>
    </row>
    <row r="219" spans="1:9" ht="15.75">
      <c r="A219" s="4">
        <v>218</v>
      </c>
      <c r="B219" s="3" t="s">
        <v>1</v>
      </c>
      <c r="C219" s="3" t="s">
        <v>36</v>
      </c>
      <c r="D219" s="3" t="s">
        <v>26</v>
      </c>
      <c r="E219" s="3">
        <v>3.5</v>
      </c>
      <c r="F219" s="3" t="s">
        <v>101</v>
      </c>
      <c r="G219" s="3" t="s">
        <v>112</v>
      </c>
      <c r="H219" s="3">
        <v>7100</v>
      </c>
      <c r="I219" s="53"/>
    </row>
    <row r="220" spans="1:9" ht="15.75">
      <c r="A220" s="4">
        <v>219</v>
      </c>
      <c r="B220" s="3" t="s">
        <v>4</v>
      </c>
      <c r="C220" s="3" t="s">
        <v>36</v>
      </c>
      <c r="D220" s="3" t="s">
        <v>27</v>
      </c>
      <c r="E220" s="3">
        <v>2.8</v>
      </c>
      <c r="F220" s="3" t="s">
        <v>27</v>
      </c>
      <c r="G220" s="3" t="s">
        <v>112</v>
      </c>
      <c r="H220" s="3">
        <v>7200</v>
      </c>
      <c r="I220" s="53"/>
    </row>
    <row r="221" spans="1:9" ht="15.75">
      <c r="A221" s="4">
        <v>220</v>
      </c>
      <c r="B221" s="3" t="s">
        <v>4</v>
      </c>
      <c r="C221" s="3" t="s">
        <v>37</v>
      </c>
      <c r="D221" s="3" t="s">
        <v>11</v>
      </c>
      <c r="E221" s="3">
        <v>1.8</v>
      </c>
      <c r="F221" s="3" t="s">
        <v>123</v>
      </c>
      <c r="G221" s="3" t="s">
        <v>102</v>
      </c>
      <c r="H221" s="3">
        <v>5600</v>
      </c>
      <c r="I221" s="53"/>
    </row>
    <row r="222" spans="1:9" ht="15.75">
      <c r="A222" s="4">
        <v>221</v>
      </c>
      <c r="B222" s="3" t="s">
        <v>4</v>
      </c>
      <c r="C222" s="3" t="s">
        <v>37</v>
      </c>
      <c r="D222" s="3" t="s">
        <v>3</v>
      </c>
      <c r="E222" s="3">
        <v>3.1</v>
      </c>
      <c r="F222" s="3" t="s">
        <v>105</v>
      </c>
      <c r="G222" s="3" t="s">
        <v>104</v>
      </c>
      <c r="H222" s="3">
        <v>7500</v>
      </c>
      <c r="I222" s="53"/>
    </row>
    <row r="223" spans="1:9" ht="15.75">
      <c r="A223" s="4">
        <v>222</v>
      </c>
      <c r="B223" s="3" t="s">
        <v>124</v>
      </c>
      <c r="C223" s="3" t="s">
        <v>37</v>
      </c>
      <c r="D223" s="3" t="s">
        <v>16</v>
      </c>
      <c r="E223" s="3">
        <v>2.7</v>
      </c>
      <c r="F223" s="3" t="s">
        <v>125</v>
      </c>
      <c r="G223" s="3" t="s">
        <v>106</v>
      </c>
      <c r="H223" s="3">
        <v>5500</v>
      </c>
      <c r="I223" s="53"/>
    </row>
    <row r="224" spans="1:9" ht="15.75">
      <c r="A224" s="4">
        <v>223</v>
      </c>
      <c r="B224" s="3" t="s">
        <v>1</v>
      </c>
      <c r="C224" s="3" t="s">
        <v>37</v>
      </c>
      <c r="D224" s="3" t="s">
        <v>22</v>
      </c>
      <c r="E224" s="3">
        <v>3.4</v>
      </c>
      <c r="F224" s="3" t="s">
        <v>126</v>
      </c>
      <c r="G224" s="3" t="s">
        <v>85</v>
      </c>
      <c r="H224" s="3">
        <v>7200</v>
      </c>
      <c r="I224" s="53"/>
    </row>
    <row r="225" spans="1:9" ht="15.75">
      <c r="A225" s="4">
        <v>224</v>
      </c>
      <c r="B225" s="3" t="s">
        <v>1</v>
      </c>
      <c r="C225" s="3" t="s">
        <v>37</v>
      </c>
      <c r="D225" s="3" t="s">
        <v>18</v>
      </c>
      <c r="E225" s="3">
        <v>3.4</v>
      </c>
      <c r="F225" s="3" t="s">
        <v>113</v>
      </c>
      <c r="G225" s="3" t="s">
        <v>93</v>
      </c>
      <c r="H225" s="3">
        <v>7600</v>
      </c>
      <c r="I225" s="53"/>
    </row>
    <row r="226" spans="1:9" ht="15.75">
      <c r="A226" s="4">
        <v>225</v>
      </c>
      <c r="B226" s="3" t="s">
        <v>1</v>
      </c>
      <c r="C226" s="3" t="s">
        <v>37</v>
      </c>
      <c r="D226" s="3" t="s">
        <v>24</v>
      </c>
      <c r="E226" s="3">
        <v>2</v>
      </c>
      <c r="F226" s="3" t="s">
        <v>92</v>
      </c>
      <c r="G226" s="3" t="s">
        <v>93</v>
      </c>
      <c r="H226" s="3">
        <v>6500</v>
      </c>
      <c r="I226" s="53"/>
    </row>
    <row r="227" spans="1:9" ht="15.75">
      <c r="A227" s="4">
        <v>226</v>
      </c>
      <c r="B227" s="3" t="s">
        <v>1</v>
      </c>
      <c r="C227" s="3" t="s">
        <v>37</v>
      </c>
      <c r="D227" s="3" t="s">
        <v>13</v>
      </c>
      <c r="E227" s="3">
        <v>1.5</v>
      </c>
      <c r="F227" s="3" t="s">
        <v>105</v>
      </c>
      <c r="G227" s="3" t="s">
        <v>93</v>
      </c>
      <c r="H227" s="3">
        <v>6200</v>
      </c>
      <c r="I227" s="53"/>
    </row>
    <row r="228" spans="1:9" ht="15.75">
      <c r="A228" s="4">
        <v>227</v>
      </c>
      <c r="B228" s="3" t="s">
        <v>1</v>
      </c>
      <c r="C228" s="3" t="s">
        <v>37</v>
      </c>
      <c r="D228" s="3" t="s">
        <v>21</v>
      </c>
      <c r="E228" s="3">
        <v>2.5</v>
      </c>
      <c r="F228" s="3" t="s">
        <v>127</v>
      </c>
      <c r="G228" s="3" t="s">
        <v>117</v>
      </c>
      <c r="H228" s="3">
        <v>7000</v>
      </c>
      <c r="I228" s="53"/>
    </row>
    <row r="229" spans="1:9" ht="15.75">
      <c r="A229" s="4">
        <v>228</v>
      </c>
      <c r="B229" s="3" t="s">
        <v>4</v>
      </c>
      <c r="C229" s="3" t="s">
        <v>37</v>
      </c>
      <c r="D229" s="3" t="s">
        <v>5</v>
      </c>
      <c r="E229" s="3">
        <v>3.7</v>
      </c>
      <c r="F229" s="3" t="s">
        <v>101</v>
      </c>
      <c r="G229" s="3" t="s">
        <v>96</v>
      </c>
      <c r="H229" s="3">
        <v>7000</v>
      </c>
      <c r="I229" s="53"/>
    </row>
    <row r="230" spans="1:9" ht="15.75">
      <c r="A230" s="4">
        <v>229</v>
      </c>
      <c r="B230" s="3" t="s">
        <v>4</v>
      </c>
      <c r="C230" s="3" t="s">
        <v>37</v>
      </c>
      <c r="D230" s="3" t="s">
        <v>21</v>
      </c>
      <c r="E230" s="3">
        <v>2.4</v>
      </c>
      <c r="F230" s="3" t="s">
        <v>21</v>
      </c>
      <c r="G230" s="3" t="s">
        <v>96</v>
      </c>
      <c r="H230" s="3">
        <v>6200</v>
      </c>
      <c r="I230" s="53"/>
    </row>
    <row r="231" spans="1:9" ht="15.75">
      <c r="A231" s="4">
        <v>230</v>
      </c>
      <c r="B231" s="3" t="s">
        <v>4</v>
      </c>
      <c r="C231" s="3" t="s">
        <v>37</v>
      </c>
      <c r="D231" s="3" t="s">
        <v>8</v>
      </c>
      <c r="E231" s="3">
        <v>3.4</v>
      </c>
      <c r="F231" s="3" t="s">
        <v>101</v>
      </c>
      <c r="G231" s="3" t="s">
        <v>110</v>
      </c>
      <c r="H231" s="3">
        <v>7800</v>
      </c>
      <c r="I231" s="53"/>
    </row>
    <row r="232" spans="1:9" ht="15.75">
      <c r="A232" s="4">
        <v>231</v>
      </c>
      <c r="B232" s="3" t="s">
        <v>4</v>
      </c>
      <c r="C232" s="3" t="s">
        <v>37</v>
      </c>
      <c r="D232" s="3" t="s">
        <v>3</v>
      </c>
      <c r="E232" s="3">
        <v>3.7</v>
      </c>
      <c r="F232" s="3" t="s">
        <v>3</v>
      </c>
      <c r="G232" s="3" t="s">
        <v>110</v>
      </c>
      <c r="H232" s="3">
        <v>9000</v>
      </c>
      <c r="I232" s="53"/>
    </row>
    <row r="233" spans="1:9" ht="15.75">
      <c r="A233" s="4">
        <v>232</v>
      </c>
      <c r="B233" s="3" t="s">
        <v>1</v>
      </c>
      <c r="C233" s="3" t="s">
        <v>37</v>
      </c>
      <c r="D233" s="3" t="s">
        <v>17</v>
      </c>
      <c r="E233" s="3">
        <v>3.7</v>
      </c>
      <c r="F233" s="3" t="s">
        <v>113</v>
      </c>
      <c r="G233" s="3" t="s">
        <v>96</v>
      </c>
      <c r="H233" s="3">
        <v>7500</v>
      </c>
      <c r="I233" s="53"/>
    </row>
    <row r="234" spans="1:9" ht="15.75">
      <c r="A234" s="4">
        <v>233</v>
      </c>
      <c r="B234" s="3" t="s">
        <v>4</v>
      </c>
      <c r="C234" s="3" t="s">
        <v>37</v>
      </c>
      <c r="D234" s="3" t="s">
        <v>11</v>
      </c>
      <c r="E234" s="3">
        <v>1.5</v>
      </c>
      <c r="F234" s="3" t="s">
        <v>11</v>
      </c>
      <c r="G234" s="3" t="s">
        <v>96</v>
      </c>
      <c r="H234" s="3">
        <v>5800</v>
      </c>
      <c r="I234" s="53"/>
    </row>
    <row r="235" spans="1:9" ht="15.75">
      <c r="A235" s="4">
        <v>234</v>
      </c>
      <c r="B235" s="3" t="s">
        <v>4</v>
      </c>
      <c r="C235" s="3" t="s">
        <v>37</v>
      </c>
      <c r="D235" s="3" t="s">
        <v>16</v>
      </c>
      <c r="E235" s="3">
        <v>3.7</v>
      </c>
      <c r="F235" s="3" t="s">
        <v>128</v>
      </c>
      <c r="G235" s="3" t="s">
        <v>96</v>
      </c>
      <c r="H235" s="3">
        <v>7800</v>
      </c>
      <c r="I235" s="53"/>
    </row>
    <row r="236" spans="1:9" ht="15.75">
      <c r="A236" s="4">
        <v>235</v>
      </c>
      <c r="B236" s="3" t="s">
        <v>4</v>
      </c>
      <c r="C236" s="3" t="s">
        <v>37</v>
      </c>
      <c r="D236" s="3" t="s">
        <v>3</v>
      </c>
      <c r="E236" s="3">
        <v>3.2</v>
      </c>
      <c r="F236" s="3" t="s">
        <v>105</v>
      </c>
      <c r="G236" s="3" t="s">
        <v>129</v>
      </c>
      <c r="H236" s="3">
        <v>7000</v>
      </c>
      <c r="I236" s="53"/>
    </row>
    <row r="237" spans="1:9" ht="15.75">
      <c r="A237" s="4">
        <v>236</v>
      </c>
      <c r="B237" s="3" t="s">
        <v>1</v>
      </c>
      <c r="C237" s="3" t="s">
        <v>37</v>
      </c>
      <c r="D237" s="3" t="s">
        <v>17</v>
      </c>
      <c r="E237" s="3">
        <v>2.8</v>
      </c>
      <c r="F237" s="3" t="s">
        <v>105</v>
      </c>
      <c r="G237" s="3" t="s">
        <v>110</v>
      </c>
      <c r="H237" s="3">
        <v>7000</v>
      </c>
      <c r="I237" s="53"/>
    </row>
    <row r="238" spans="1:9" ht="15.75">
      <c r="A238" s="4">
        <v>237</v>
      </c>
      <c r="B238" s="3" t="s">
        <v>1</v>
      </c>
      <c r="C238" s="3" t="s">
        <v>37</v>
      </c>
      <c r="D238" s="3" t="s">
        <v>21</v>
      </c>
      <c r="E238" s="3">
        <v>1.5</v>
      </c>
      <c r="F238" s="3" t="s">
        <v>101</v>
      </c>
      <c r="G238" s="3" t="s">
        <v>100</v>
      </c>
      <c r="H238" s="3">
        <v>6300</v>
      </c>
      <c r="I238" s="53"/>
    </row>
    <row r="239" spans="1:9" ht="15.75">
      <c r="A239" s="4">
        <v>238</v>
      </c>
      <c r="B239" s="3" t="s">
        <v>1</v>
      </c>
      <c r="C239" s="3" t="s">
        <v>37</v>
      </c>
      <c r="D239" s="3" t="s">
        <v>22</v>
      </c>
      <c r="E239" s="3">
        <v>3.4</v>
      </c>
      <c r="F239" s="3" t="s">
        <v>22</v>
      </c>
      <c r="G239" s="3" t="s">
        <v>100</v>
      </c>
      <c r="H239" s="3">
        <v>7500</v>
      </c>
      <c r="I239" s="53"/>
    </row>
    <row r="240" spans="1:9" ht="15.75">
      <c r="A240" s="4">
        <v>239</v>
      </c>
      <c r="B240" s="3" t="s">
        <v>4</v>
      </c>
      <c r="C240" s="3" t="s">
        <v>37</v>
      </c>
      <c r="D240" s="3" t="s">
        <v>3</v>
      </c>
      <c r="E240" s="3">
        <v>3.7</v>
      </c>
      <c r="F240" s="3" t="s">
        <v>3</v>
      </c>
      <c r="G240" s="3" t="s">
        <v>112</v>
      </c>
      <c r="H240" s="3">
        <v>7600</v>
      </c>
      <c r="I240" s="53"/>
    </row>
    <row r="241" spans="1:9" ht="15.75">
      <c r="A241" s="4">
        <v>240</v>
      </c>
      <c r="B241" s="3" t="s">
        <v>124</v>
      </c>
      <c r="C241" s="3" t="s">
        <v>37</v>
      </c>
      <c r="D241" s="3" t="s">
        <v>8</v>
      </c>
      <c r="E241" s="3">
        <v>3</v>
      </c>
      <c r="F241" s="3" t="s">
        <v>92</v>
      </c>
      <c r="G241" s="3" t="s">
        <v>100</v>
      </c>
      <c r="H241" s="3">
        <v>5700</v>
      </c>
      <c r="I241" s="53"/>
    </row>
    <row r="242" spans="1:9" ht="15.75">
      <c r="A242" s="4">
        <v>241</v>
      </c>
      <c r="B242" s="3" t="s">
        <v>4</v>
      </c>
      <c r="C242" s="3" t="s">
        <v>38</v>
      </c>
      <c r="D242" s="3" t="s">
        <v>22</v>
      </c>
      <c r="E242" s="3">
        <v>3.7</v>
      </c>
      <c r="F242" s="3" t="s">
        <v>22</v>
      </c>
      <c r="G242" s="3" t="s">
        <v>115</v>
      </c>
      <c r="H242" s="3">
        <v>7600</v>
      </c>
      <c r="I242" s="53"/>
    </row>
    <row r="243" spans="1:9" ht="15.75">
      <c r="A243" s="4">
        <v>242</v>
      </c>
      <c r="B243" s="3" t="s">
        <v>4</v>
      </c>
      <c r="C243" s="3" t="s">
        <v>38</v>
      </c>
      <c r="D243" s="3" t="s">
        <v>28</v>
      </c>
      <c r="E243" s="3">
        <v>1.8</v>
      </c>
      <c r="F243" s="3" t="s">
        <v>28</v>
      </c>
      <c r="G243" s="3" t="s">
        <v>102</v>
      </c>
      <c r="H243" s="3">
        <v>5700</v>
      </c>
      <c r="I243" s="53"/>
    </row>
    <row r="244" spans="1:9" ht="15.75">
      <c r="A244" s="4">
        <v>243</v>
      </c>
      <c r="B244" s="3" t="s">
        <v>4</v>
      </c>
      <c r="C244" s="3" t="s">
        <v>38</v>
      </c>
      <c r="D244" s="3" t="s">
        <v>3</v>
      </c>
      <c r="E244" s="3">
        <v>2</v>
      </c>
      <c r="F244" s="3" t="s">
        <v>3</v>
      </c>
      <c r="G244" s="3" t="s">
        <v>104</v>
      </c>
      <c r="H244" s="3">
        <v>5800</v>
      </c>
      <c r="I244" s="53"/>
    </row>
    <row r="245" spans="1:9" ht="15.75">
      <c r="A245" s="4">
        <v>244</v>
      </c>
      <c r="B245" s="3" t="s">
        <v>4</v>
      </c>
      <c r="C245" s="3" t="s">
        <v>38</v>
      </c>
      <c r="D245" s="3" t="s">
        <v>18</v>
      </c>
      <c r="E245" s="3">
        <v>2</v>
      </c>
      <c r="F245" s="3" t="s">
        <v>114</v>
      </c>
      <c r="G245" s="3" t="s">
        <v>104</v>
      </c>
      <c r="H245" s="3">
        <v>6300</v>
      </c>
      <c r="I245" s="53"/>
    </row>
    <row r="246" spans="1:9" ht="15.75">
      <c r="A246" s="4">
        <v>245</v>
      </c>
      <c r="B246" s="3" t="s">
        <v>4</v>
      </c>
      <c r="C246" s="3" t="s">
        <v>38</v>
      </c>
      <c r="D246" s="3" t="s">
        <v>8</v>
      </c>
      <c r="E246" s="3">
        <v>1.6</v>
      </c>
      <c r="F246" s="3" t="s">
        <v>105</v>
      </c>
      <c r="G246" s="3" t="s">
        <v>106</v>
      </c>
      <c r="H246" s="3">
        <v>6000</v>
      </c>
      <c r="I246" s="53"/>
    </row>
    <row r="247" spans="1:9" ht="15.75">
      <c r="A247" s="4">
        <v>246</v>
      </c>
      <c r="B247" s="3" t="s">
        <v>1</v>
      </c>
      <c r="C247" s="3" t="s">
        <v>38</v>
      </c>
      <c r="D247" s="3" t="s">
        <v>3</v>
      </c>
      <c r="E247" s="3">
        <v>1.5</v>
      </c>
      <c r="F247" s="3" t="s">
        <v>3</v>
      </c>
      <c r="G247" s="3" t="s">
        <v>107</v>
      </c>
      <c r="H247" s="3">
        <v>6000</v>
      </c>
      <c r="I247" s="53"/>
    </row>
    <row r="248" spans="1:9" ht="15.75">
      <c r="A248" s="4">
        <v>247</v>
      </c>
      <c r="B248" s="3" t="s">
        <v>4</v>
      </c>
      <c r="C248" s="3" t="s">
        <v>38</v>
      </c>
      <c r="D248" s="3" t="s">
        <v>17</v>
      </c>
      <c r="E248" s="3">
        <v>2.9</v>
      </c>
      <c r="F248" s="3" t="s">
        <v>116</v>
      </c>
      <c r="G248" s="3" t="s">
        <v>106</v>
      </c>
      <c r="H248" s="3">
        <v>7000</v>
      </c>
      <c r="I248" s="53"/>
    </row>
    <row r="249" spans="1:9" ht="15.75">
      <c r="A249" s="4">
        <v>248</v>
      </c>
      <c r="B249" s="3" t="s">
        <v>1</v>
      </c>
      <c r="C249" s="3" t="s">
        <v>38</v>
      </c>
      <c r="D249" s="3" t="s">
        <v>3</v>
      </c>
      <c r="E249" s="3">
        <v>2.2999999999999998</v>
      </c>
      <c r="F249" s="3" t="s">
        <v>3</v>
      </c>
      <c r="G249" s="3" t="s">
        <v>107</v>
      </c>
      <c r="H249" s="3">
        <v>6800</v>
      </c>
      <c r="I249" s="53"/>
    </row>
    <row r="250" spans="1:9" ht="15.75">
      <c r="A250" s="4">
        <v>249</v>
      </c>
      <c r="B250" s="3" t="s">
        <v>4</v>
      </c>
      <c r="C250" s="3" t="s">
        <v>38</v>
      </c>
      <c r="D250" s="3" t="s">
        <v>17</v>
      </c>
      <c r="E250" s="3">
        <v>3.3</v>
      </c>
      <c r="F250" s="3" t="s">
        <v>114</v>
      </c>
      <c r="G250" s="3" t="s">
        <v>130</v>
      </c>
      <c r="H250" s="3">
        <v>7000</v>
      </c>
      <c r="I250" s="53"/>
    </row>
    <row r="251" spans="1:9" ht="15.75">
      <c r="A251" s="4">
        <v>250</v>
      </c>
      <c r="B251" s="3" t="s">
        <v>1</v>
      </c>
      <c r="C251" s="3" t="s">
        <v>38</v>
      </c>
      <c r="D251" s="3" t="s">
        <v>22</v>
      </c>
      <c r="E251" s="3">
        <v>3.6</v>
      </c>
      <c r="F251" s="3" t="s">
        <v>22</v>
      </c>
      <c r="G251" s="3" t="s">
        <v>106</v>
      </c>
      <c r="H251" s="3">
        <v>9000</v>
      </c>
      <c r="I251" s="53"/>
    </row>
    <row r="252" spans="1:9" ht="15.75">
      <c r="A252" s="4">
        <v>251</v>
      </c>
      <c r="B252" s="3" t="s">
        <v>1</v>
      </c>
      <c r="C252" s="3" t="s">
        <v>38</v>
      </c>
      <c r="D252" s="3" t="s">
        <v>9</v>
      </c>
      <c r="E252" s="3">
        <v>2.7</v>
      </c>
      <c r="F252" s="3" t="s">
        <v>105</v>
      </c>
      <c r="G252" s="3" t="s">
        <v>106</v>
      </c>
      <c r="H252" s="3">
        <v>6800</v>
      </c>
      <c r="I252" s="53"/>
    </row>
    <row r="253" spans="1:9" ht="15.75">
      <c r="A253" s="4">
        <v>252</v>
      </c>
      <c r="B253" s="3" t="s">
        <v>1</v>
      </c>
      <c r="C253" s="3" t="s">
        <v>38</v>
      </c>
      <c r="D253" s="3" t="s">
        <v>22</v>
      </c>
      <c r="E253" s="3">
        <v>1.8</v>
      </c>
      <c r="F253" s="3" t="s">
        <v>22</v>
      </c>
      <c r="G253" s="3" t="s">
        <v>106</v>
      </c>
      <c r="H253" s="3">
        <v>5400</v>
      </c>
      <c r="I253" s="53"/>
    </row>
    <row r="254" spans="1:9" ht="15.75">
      <c r="A254" s="4">
        <v>253</v>
      </c>
      <c r="B254" s="3" t="s">
        <v>4</v>
      </c>
      <c r="C254" s="3" t="s">
        <v>38</v>
      </c>
      <c r="D254" s="3" t="s">
        <v>17</v>
      </c>
      <c r="E254" s="3">
        <v>3.7</v>
      </c>
      <c r="F254" s="3" t="s">
        <v>113</v>
      </c>
      <c r="G254" s="3" t="s">
        <v>106</v>
      </c>
      <c r="H254" s="3">
        <v>8500</v>
      </c>
      <c r="I254" s="53"/>
    </row>
    <row r="255" spans="1:9" ht="15.75">
      <c r="A255" s="4">
        <v>254</v>
      </c>
      <c r="B255" s="3" t="s">
        <v>1</v>
      </c>
      <c r="C255" s="3" t="s">
        <v>38</v>
      </c>
      <c r="D255" s="3" t="s">
        <v>11</v>
      </c>
      <c r="E255" s="3">
        <v>2.4</v>
      </c>
      <c r="F255" s="3" t="s">
        <v>11</v>
      </c>
      <c r="G255" s="3" t="s">
        <v>130</v>
      </c>
      <c r="H255" s="3">
        <v>6400</v>
      </c>
      <c r="I255" s="53"/>
    </row>
    <row r="256" spans="1:9" ht="15.75">
      <c r="A256" s="4">
        <v>255</v>
      </c>
      <c r="B256" s="3" t="s">
        <v>1</v>
      </c>
      <c r="C256" s="3" t="s">
        <v>38</v>
      </c>
      <c r="D256" s="3" t="s">
        <v>14</v>
      </c>
      <c r="E256" s="3">
        <v>3.6</v>
      </c>
      <c r="F256" s="3" t="s">
        <v>128</v>
      </c>
      <c r="G256" s="3" t="s">
        <v>106</v>
      </c>
      <c r="H256" s="3">
        <v>8500</v>
      </c>
      <c r="I256" s="53"/>
    </row>
    <row r="257" spans="1:9" ht="15.75">
      <c r="A257" s="4">
        <v>256</v>
      </c>
      <c r="B257" s="3" t="s">
        <v>4</v>
      </c>
      <c r="C257" s="3" t="s">
        <v>38</v>
      </c>
      <c r="D257" s="3" t="s">
        <v>8</v>
      </c>
      <c r="E257" s="3">
        <v>3.4</v>
      </c>
      <c r="F257" s="3" t="s">
        <v>92</v>
      </c>
      <c r="G257" s="3" t="s">
        <v>107</v>
      </c>
      <c r="H257" s="3">
        <v>7600</v>
      </c>
      <c r="I257" s="53"/>
    </row>
    <row r="258" spans="1:9" ht="15.75">
      <c r="A258" s="4">
        <v>257</v>
      </c>
      <c r="B258" s="3" t="s">
        <v>1</v>
      </c>
      <c r="C258" s="3" t="s">
        <v>38</v>
      </c>
      <c r="D258" s="3" t="s">
        <v>3</v>
      </c>
      <c r="E258" s="3">
        <v>1.8</v>
      </c>
      <c r="F258" s="3" t="s">
        <v>3</v>
      </c>
      <c r="G258" s="3" t="s">
        <v>85</v>
      </c>
      <c r="H258" s="3">
        <v>6400</v>
      </c>
      <c r="I258" s="53"/>
    </row>
    <row r="259" spans="1:9" ht="15.75">
      <c r="A259" s="4">
        <v>258</v>
      </c>
      <c r="B259" s="3" t="s">
        <v>1</v>
      </c>
      <c r="C259" s="3" t="s">
        <v>38</v>
      </c>
      <c r="D259" s="3" t="s">
        <v>3</v>
      </c>
      <c r="E259" s="3">
        <v>2</v>
      </c>
      <c r="F259" s="3" t="s">
        <v>3</v>
      </c>
      <c r="G259" s="3" t="s">
        <v>109</v>
      </c>
      <c r="H259" s="3">
        <v>6700</v>
      </c>
      <c r="I259" s="53"/>
    </row>
    <row r="260" spans="1:9" ht="15.75">
      <c r="A260" s="4">
        <v>259</v>
      </c>
      <c r="B260" s="3" t="s">
        <v>1</v>
      </c>
      <c r="C260" s="3" t="s">
        <v>38</v>
      </c>
      <c r="D260" s="3" t="s">
        <v>10</v>
      </c>
      <c r="E260" s="3">
        <v>2.5</v>
      </c>
      <c r="F260" s="3" t="s">
        <v>92</v>
      </c>
      <c r="G260" s="3" t="s">
        <v>131</v>
      </c>
      <c r="H260" s="3">
        <v>6500</v>
      </c>
      <c r="I260" s="53"/>
    </row>
    <row r="261" spans="1:9" ht="15.75">
      <c r="A261" s="4">
        <v>260</v>
      </c>
      <c r="B261" s="3" t="s">
        <v>4</v>
      </c>
      <c r="C261" s="3" t="s">
        <v>38</v>
      </c>
      <c r="D261" s="3" t="s">
        <v>24</v>
      </c>
      <c r="E261" s="3">
        <v>1.5</v>
      </c>
      <c r="F261" s="3" t="s">
        <v>24</v>
      </c>
      <c r="G261" s="3" t="s">
        <v>109</v>
      </c>
      <c r="H261" s="3">
        <v>5900</v>
      </c>
      <c r="I261" s="53"/>
    </row>
    <row r="262" spans="1:9" ht="15.75">
      <c r="A262" s="4">
        <v>261</v>
      </c>
      <c r="B262" s="3" t="s">
        <v>4</v>
      </c>
      <c r="C262" s="3" t="s">
        <v>38</v>
      </c>
      <c r="D262" s="3" t="s">
        <v>19</v>
      </c>
      <c r="E262" s="3">
        <v>2.1</v>
      </c>
      <c r="F262" s="3" t="s">
        <v>19</v>
      </c>
      <c r="G262" s="3" t="s">
        <v>131</v>
      </c>
      <c r="H262" s="3">
        <v>5600</v>
      </c>
      <c r="I262" s="53"/>
    </row>
    <row r="263" spans="1:9" ht="15.75">
      <c r="A263" s="4">
        <v>262</v>
      </c>
      <c r="B263" s="3" t="s">
        <v>4</v>
      </c>
      <c r="C263" s="3" t="s">
        <v>38</v>
      </c>
      <c r="D263" s="3" t="s">
        <v>11</v>
      </c>
      <c r="E263" s="3">
        <v>2.2999999999999998</v>
      </c>
      <c r="F263" s="3" t="s">
        <v>105</v>
      </c>
      <c r="G263" s="3" t="s">
        <v>109</v>
      </c>
      <c r="H263" s="3">
        <v>6600</v>
      </c>
      <c r="I263" s="53"/>
    </row>
    <row r="264" spans="1:9" ht="15.75">
      <c r="A264" s="4">
        <v>263</v>
      </c>
      <c r="B264" s="3" t="s">
        <v>1</v>
      </c>
      <c r="C264" s="3" t="s">
        <v>38</v>
      </c>
      <c r="D264" s="3" t="s">
        <v>18</v>
      </c>
      <c r="E264" s="3">
        <v>2.8</v>
      </c>
      <c r="F264" s="3" t="s">
        <v>113</v>
      </c>
      <c r="G264" s="3" t="s">
        <v>85</v>
      </c>
      <c r="H264" s="3">
        <v>7100</v>
      </c>
      <c r="I264" s="53"/>
    </row>
    <row r="265" spans="1:9" ht="15.75">
      <c r="A265" s="4">
        <v>264</v>
      </c>
      <c r="B265" s="3" t="s">
        <v>4</v>
      </c>
      <c r="C265" s="3" t="s">
        <v>38</v>
      </c>
      <c r="D265" s="3" t="s">
        <v>16</v>
      </c>
      <c r="E265" s="3">
        <v>3.3</v>
      </c>
      <c r="F265" s="3" t="s">
        <v>105</v>
      </c>
      <c r="G265" s="3" t="s">
        <v>85</v>
      </c>
      <c r="H265" s="3">
        <v>7400</v>
      </c>
      <c r="I265" s="53"/>
    </row>
    <row r="266" spans="1:9" ht="15.75">
      <c r="A266" s="4">
        <v>265</v>
      </c>
      <c r="B266" s="3" t="s">
        <v>1</v>
      </c>
      <c r="C266" s="3" t="s">
        <v>38</v>
      </c>
      <c r="D266" s="3" t="s">
        <v>25</v>
      </c>
      <c r="E266" s="3">
        <v>2.8</v>
      </c>
      <c r="F266" s="3" t="s">
        <v>25</v>
      </c>
      <c r="G266" s="3" t="s">
        <v>109</v>
      </c>
      <c r="H266" s="3">
        <v>6500</v>
      </c>
      <c r="I266" s="53"/>
    </row>
    <row r="267" spans="1:9" ht="15.75">
      <c r="A267" s="4">
        <v>266</v>
      </c>
      <c r="B267" s="3" t="s">
        <v>4</v>
      </c>
      <c r="C267" s="3" t="s">
        <v>38</v>
      </c>
      <c r="D267" s="3" t="s">
        <v>19</v>
      </c>
      <c r="E267" s="3">
        <v>3</v>
      </c>
      <c r="F267" s="3" t="s">
        <v>19</v>
      </c>
      <c r="G267" s="3" t="s">
        <v>85</v>
      </c>
      <c r="H267" s="3">
        <v>6700</v>
      </c>
      <c r="I267" s="53"/>
    </row>
    <row r="268" spans="1:9" ht="15.75">
      <c r="A268" s="4">
        <v>267</v>
      </c>
      <c r="B268" s="3" t="s">
        <v>4</v>
      </c>
      <c r="C268" s="3" t="s">
        <v>38</v>
      </c>
      <c r="D268" s="3" t="s">
        <v>9</v>
      </c>
      <c r="E268" s="3">
        <v>3.4</v>
      </c>
      <c r="F268" s="3" t="s">
        <v>92</v>
      </c>
      <c r="G268" s="3" t="s">
        <v>85</v>
      </c>
      <c r="H268" s="3">
        <v>7100</v>
      </c>
      <c r="I268" s="53"/>
    </row>
    <row r="269" spans="1:9" ht="15.75">
      <c r="A269" s="4">
        <v>268</v>
      </c>
      <c r="B269" s="3" t="s">
        <v>4</v>
      </c>
      <c r="C269" s="3" t="s">
        <v>38</v>
      </c>
      <c r="D269" s="3" t="s">
        <v>26</v>
      </c>
      <c r="E269" s="3">
        <v>3.5</v>
      </c>
      <c r="F269" s="3" t="s">
        <v>108</v>
      </c>
      <c r="G269" s="3" t="s">
        <v>117</v>
      </c>
      <c r="H269" s="3">
        <v>7900</v>
      </c>
      <c r="I269" s="53"/>
    </row>
    <row r="270" spans="1:9" ht="15.75">
      <c r="A270" s="4">
        <v>269</v>
      </c>
      <c r="B270" s="3" t="s">
        <v>1</v>
      </c>
      <c r="C270" s="3" t="s">
        <v>38</v>
      </c>
      <c r="D270" s="3" t="s">
        <v>9</v>
      </c>
      <c r="E270" s="3">
        <v>1.5</v>
      </c>
      <c r="F270" s="3" t="s">
        <v>92</v>
      </c>
      <c r="G270" s="3" t="s">
        <v>93</v>
      </c>
      <c r="H270" s="3">
        <v>5600</v>
      </c>
      <c r="I270" s="53"/>
    </row>
    <row r="271" spans="1:9" ht="15.75">
      <c r="A271" s="4">
        <v>270</v>
      </c>
      <c r="B271" s="3" t="s">
        <v>1</v>
      </c>
      <c r="C271" s="3" t="s">
        <v>38</v>
      </c>
      <c r="D271" s="3" t="s">
        <v>7</v>
      </c>
      <c r="E271" s="3">
        <v>3.7</v>
      </c>
      <c r="F271" s="3" t="s">
        <v>105</v>
      </c>
      <c r="G271" s="3" t="s">
        <v>93</v>
      </c>
      <c r="H271" s="3">
        <v>7900</v>
      </c>
      <c r="I271" s="53"/>
    </row>
    <row r="272" spans="1:9" ht="15.75">
      <c r="A272" s="4">
        <v>271</v>
      </c>
      <c r="B272" s="3" t="s">
        <v>4</v>
      </c>
      <c r="C272" s="3" t="s">
        <v>38</v>
      </c>
      <c r="D272" s="3" t="s">
        <v>14</v>
      </c>
      <c r="E272" s="3">
        <v>2.2999999999999998</v>
      </c>
      <c r="F272" s="3" t="s">
        <v>14</v>
      </c>
      <c r="G272" s="3" t="s">
        <v>93</v>
      </c>
      <c r="H272" s="3">
        <v>7000</v>
      </c>
      <c r="I272" s="53"/>
    </row>
    <row r="273" spans="1:9" ht="15.75">
      <c r="A273" s="4">
        <v>272</v>
      </c>
      <c r="B273" s="3" t="s">
        <v>1</v>
      </c>
      <c r="C273" s="3" t="s">
        <v>38</v>
      </c>
      <c r="D273" s="3" t="s">
        <v>2</v>
      </c>
      <c r="E273" s="3">
        <v>2.1</v>
      </c>
      <c r="F273" s="3" t="s">
        <v>92</v>
      </c>
      <c r="G273" s="3" t="s">
        <v>96</v>
      </c>
      <c r="H273" s="3">
        <v>6500</v>
      </c>
      <c r="I273" s="53"/>
    </row>
    <row r="274" spans="1:9" ht="15.75">
      <c r="A274" s="4">
        <v>273</v>
      </c>
      <c r="B274" s="3" t="s">
        <v>1</v>
      </c>
      <c r="C274" s="3" t="s">
        <v>38</v>
      </c>
      <c r="D274" s="3" t="s">
        <v>17</v>
      </c>
      <c r="E274" s="3">
        <v>3.7</v>
      </c>
      <c r="F274" s="3" t="s">
        <v>105</v>
      </c>
      <c r="G274" s="3" t="s">
        <v>96</v>
      </c>
      <c r="H274" s="3">
        <v>7100</v>
      </c>
      <c r="I274" s="53"/>
    </row>
    <row r="275" spans="1:9" ht="15.75">
      <c r="A275" s="4">
        <v>274</v>
      </c>
      <c r="B275" s="3" t="s">
        <v>4</v>
      </c>
      <c r="C275" s="3" t="s">
        <v>38</v>
      </c>
      <c r="D275" s="3" t="s">
        <v>20</v>
      </c>
      <c r="E275" s="3">
        <v>3.7</v>
      </c>
      <c r="F275" s="3" t="s">
        <v>105</v>
      </c>
      <c r="G275" s="3" t="s">
        <v>132</v>
      </c>
      <c r="H275" s="3">
        <v>7800</v>
      </c>
      <c r="I275" s="53"/>
    </row>
    <row r="276" spans="1:9" ht="15.75">
      <c r="A276" s="4">
        <v>275</v>
      </c>
      <c r="B276" s="3" t="s">
        <v>4</v>
      </c>
      <c r="C276" s="3" t="s">
        <v>38</v>
      </c>
      <c r="D276" s="3" t="s">
        <v>5</v>
      </c>
      <c r="E276" s="3">
        <v>3.6</v>
      </c>
      <c r="F276" s="3" t="s">
        <v>5</v>
      </c>
      <c r="G276" s="3" t="s">
        <v>132</v>
      </c>
      <c r="H276" s="3">
        <v>7800</v>
      </c>
      <c r="I276" s="53"/>
    </row>
    <row r="277" spans="1:9" ht="15.75">
      <c r="A277" s="4">
        <v>276</v>
      </c>
      <c r="B277" s="3" t="s">
        <v>4</v>
      </c>
      <c r="C277" s="3" t="s">
        <v>38</v>
      </c>
      <c r="D277" s="3" t="s">
        <v>11</v>
      </c>
      <c r="E277" s="3">
        <v>2.4</v>
      </c>
      <c r="F277" s="3" t="s">
        <v>11</v>
      </c>
      <c r="G277" s="3" t="s">
        <v>111</v>
      </c>
      <c r="H277" s="3">
        <v>6100</v>
      </c>
      <c r="I277" s="53"/>
    </row>
    <row r="278" spans="1:9" ht="15.75">
      <c r="A278" s="4">
        <v>277</v>
      </c>
      <c r="B278" s="3" t="s">
        <v>4</v>
      </c>
      <c r="C278" s="3" t="s">
        <v>38</v>
      </c>
      <c r="D278" s="3" t="s">
        <v>11</v>
      </c>
      <c r="E278" s="3">
        <v>3</v>
      </c>
      <c r="F278" s="3" t="s">
        <v>105</v>
      </c>
      <c r="G278" s="3" t="s">
        <v>99</v>
      </c>
      <c r="H278" s="3">
        <v>6900</v>
      </c>
      <c r="I278" s="53"/>
    </row>
    <row r="279" spans="1:9" ht="15.75">
      <c r="A279" s="4">
        <v>278</v>
      </c>
      <c r="B279" s="3" t="s">
        <v>1</v>
      </c>
      <c r="C279" s="3" t="s">
        <v>38</v>
      </c>
      <c r="D279" s="3" t="s">
        <v>8</v>
      </c>
      <c r="E279" s="3">
        <v>3.5</v>
      </c>
      <c r="F279" s="3" t="s">
        <v>105</v>
      </c>
      <c r="G279" s="3" t="s">
        <v>133</v>
      </c>
      <c r="H279" s="3">
        <v>7000</v>
      </c>
      <c r="I279" s="53"/>
    </row>
    <row r="280" spans="1:9" ht="15.75">
      <c r="A280" s="4">
        <v>279</v>
      </c>
      <c r="B280" s="3" t="s">
        <v>1</v>
      </c>
      <c r="C280" s="3" t="s">
        <v>38</v>
      </c>
      <c r="D280" s="3" t="s">
        <v>3</v>
      </c>
      <c r="E280" s="3">
        <v>2.8</v>
      </c>
      <c r="F280" s="3" t="s">
        <v>92</v>
      </c>
      <c r="G280" s="3" t="s">
        <v>112</v>
      </c>
      <c r="H280" s="3">
        <v>6900</v>
      </c>
      <c r="I280" s="53"/>
    </row>
    <row r="281" spans="1:9" ht="15.75">
      <c r="A281" s="4">
        <v>280</v>
      </c>
      <c r="B281" s="3" t="s">
        <v>1</v>
      </c>
      <c r="C281" s="3" t="s">
        <v>38</v>
      </c>
      <c r="D281" s="3" t="s">
        <v>3</v>
      </c>
      <c r="E281" s="3">
        <v>3.6</v>
      </c>
      <c r="F281" s="3" t="s">
        <v>3</v>
      </c>
      <c r="G281" s="3" t="s">
        <v>112</v>
      </c>
      <c r="H281" s="3">
        <v>7400</v>
      </c>
      <c r="I281" s="53"/>
    </row>
    <row r="282" spans="1:9" ht="15.75">
      <c r="A282" s="4">
        <v>281</v>
      </c>
      <c r="B282" s="3" t="s">
        <v>1</v>
      </c>
      <c r="C282" s="3" t="s">
        <v>38</v>
      </c>
      <c r="D282" s="3" t="s">
        <v>3</v>
      </c>
      <c r="E282" s="3">
        <v>3.7</v>
      </c>
      <c r="F282" s="3" t="s">
        <v>3</v>
      </c>
      <c r="G282" s="3" t="s">
        <v>100</v>
      </c>
      <c r="H282" s="3">
        <v>7500</v>
      </c>
      <c r="I282" s="53"/>
    </row>
    <row r="283" spans="1:9" ht="15.75">
      <c r="A283" s="4">
        <v>282</v>
      </c>
      <c r="B283" s="3" t="s">
        <v>1</v>
      </c>
      <c r="C283" s="3" t="s">
        <v>38</v>
      </c>
      <c r="D283" s="3" t="s">
        <v>26</v>
      </c>
      <c r="E283" s="3">
        <v>3.4</v>
      </c>
      <c r="F283" s="3" t="s">
        <v>26</v>
      </c>
      <c r="G283" s="3" t="s">
        <v>112</v>
      </c>
      <c r="H283" s="3">
        <v>5300</v>
      </c>
      <c r="I283" s="53"/>
    </row>
    <row r="284" spans="1:9" ht="15.75">
      <c r="A284" s="4">
        <v>283</v>
      </c>
      <c r="B284" s="3" t="s">
        <v>4</v>
      </c>
      <c r="C284" s="3" t="s">
        <v>38</v>
      </c>
      <c r="D284" s="3" t="s">
        <v>27</v>
      </c>
      <c r="E284" s="3">
        <v>1.5</v>
      </c>
      <c r="F284" s="3" t="s">
        <v>105</v>
      </c>
      <c r="G284" s="3" t="s">
        <v>100</v>
      </c>
      <c r="H284" s="3">
        <v>6300</v>
      </c>
      <c r="I284" s="53"/>
    </row>
    <row r="285" spans="1:9" ht="15.75">
      <c r="A285" s="4">
        <v>284</v>
      </c>
      <c r="B285" s="3" t="s">
        <v>1</v>
      </c>
      <c r="C285" s="3" t="s">
        <v>38</v>
      </c>
      <c r="D285" s="3" t="s">
        <v>26</v>
      </c>
      <c r="E285" s="3">
        <v>3.7</v>
      </c>
      <c r="F285" s="3" t="s">
        <v>26</v>
      </c>
      <c r="G285" s="3" t="s">
        <v>112</v>
      </c>
      <c r="H285" s="3">
        <v>7400</v>
      </c>
      <c r="I285" s="53"/>
    </row>
  </sheetData>
  <phoneticPr fontId="9" type="noConversion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Drop Down 1">
              <controlPr defaultSize="0" autoLine="0" autoPict="0">
                <anchor moveWithCells="1">
                  <from>
                    <xdr:col>19</xdr:col>
                    <xdr:colOff>428625</xdr:colOff>
                    <xdr:row>18</xdr:row>
                    <xdr:rowOff>152400</xdr:rowOff>
                  </from>
                  <to>
                    <xdr:col>21</xdr:col>
                    <xdr:colOff>495300</xdr:colOff>
                    <xdr:row>19</xdr:row>
                    <xdr:rowOff>190500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F21" sqref="F21"/>
    </sheetView>
  </sheetViews>
  <sheetFormatPr defaultRowHeight="13.5"/>
  <cols>
    <col min="3" max="3" width="11" bestFit="1" customWidth="1"/>
    <col min="4" max="4" width="2.125" customWidth="1"/>
    <col min="5" max="5" width="15.25" bestFit="1" customWidth="1"/>
  </cols>
  <sheetData>
    <row r="1" spans="1:6">
      <c r="A1" s="6" t="s">
        <v>134</v>
      </c>
      <c r="B1" s="6" t="s">
        <v>135</v>
      </c>
      <c r="C1" s="6" t="s">
        <v>136</v>
      </c>
      <c r="E1" s="6" t="s">
        <v>137</v>
      </c>
      <c r="F1" s="7">
        <v>3</v>
      </c>
    </row>
    <row r="2" spans="1:6">
      <c r="A2" s="8">
        <v>1</v>
      </c>
      <c r="B2" s="8">
        <v>2251</v>
      </c>
      <c r="C2" s="7" t="str">
        <f ca="1">IF(A2&lt;=$F$1,"",AVERAGE(OFFSET(C1,-$F$1,-1,$F$1,1)))</f>
        <v/>
      </c>
      <c r="E2" s="6" t="s">
        <v>138</v>
      </c>
      <c r="F2" s="7">
        <f ca="1">SUMXMY2(B2:B10,C2:C10)/COUNT(C2:C10)</f>
        <v>30.462962962964042</v>
      </c>
    </row>
    <row r="3" spans="1:6">
      <c r="A3" s="8">
        <v>2</v>
      </c>
      <c r="B3" s="8">
        <v>2263</v>
      </c>
      <c r="C3" s="7" t="str">
        <f t="shared" ref="C3:C11" ca="1" si="0">IF(A3&lt;=$F$1,"",AVERAGE(OFFSET(C2,-$F$1,-1,$F$1,1)))</f>
        <v/>
      </c>
    </row>
    <row r="4" spans="1:6">
      <c r="A4" s="8">
        <v>3</v>
      </c>
      <c r="B4" s="8">
        <v>2263</v>
      </c>
      <c r="C4" s="7" t="str">
        <f t="shared" ca="1" si="0"/>
        <v/>
      </c>
      <c r="E4" s="6" t="s">
        <v>139</v>
      </c>
      <c r="F4" s="7">
        <f>INDEX(E8:E11,MATCH(MIN(F8:F11),F8:F11,0))</f>
        <v>3</v>
      </c>
    </row>
    <row r="5" spans="1:6">
      <c r="A5" s="8">
        <v>4</v>
      </c>
      <c r="B5" s="8">
        <v>2256</v>
      </c>
      <c r="C5" s="7">
        <f t="shared" ca="1" si="0"/>
        <v>2257</v>
      </c>
      <c r="E5" s="6" t="s">
        <v>140</v>
      </c>
      <c r="F5" s="7">
        <f ca="1">C11</f>
        <v>2261.6666666666665</v>
      </c>
    </row>
    <row r="6" spans="1:6">
      <c r="A6" s="8">
        <v>5</v>
      </c>
      <c r="B6" s="8">
        <v>2259</v>
      </c>
      <c r="C6" s="7">
        <f t="shared" ca="1" si="0"/>
        <v>2259</v>
      </c>
    </row>
    <row r="7" spans="1:6">
      <c r="A7" s="8">
        <v>6</v>
      </c>
      <c r="B7" s="8">
        <v>2269</v>
      </c>
      <c r="C7" s="7">
        <f t="shared" ca="1" si="0"/>
        <v>2260.6666666666665</v>
      </c>
      <c r="F7">
        <f ca="1">F2</f>
        <v>30.462962962964042</v>
      </c>
    </row>
    <row r="8" spans="1:6">
      <c r="A8" s="8">
        <v>7</v>
      </c>
      <c r="B8" s="8">
        <v>2253</v>
      </c>
      <c r="C8" s="7">
        <f t="shared" ca="1" si="0"/>
        <v>2259.3333333333335</v>
      </c>
      <c r="E8" s="6">
        <v>2</v>
      </c>
      <c r="F8" s="2">
        <v>50.5</v>
      </c>
    </row>
    <row r="9" spans="1:6">
      <c r="A9" s="8">
        <v>8</v>
      </c>
      <c r="B9" s="8">
        <v>2263</v>
      </c>
      <c r="C9" s="7">
        <f t="shared" ca="1" si="0"/>
        <v>2261.3333333333335</v>
      </c>
      <c r="E9" s="6">
        <v>3</v>
      </c>
      <c r="F9" s="2">
        <v>30.462962962964042</v>
      </c>
    </row>
    <row r="10" spans="1:6">
      <c r="A10" s="8">
        <v>9</v>
      </c>
      <c r="B10" s="8">
        <v>2252</v>
      </c>
      <c r="C10" s="7">
        <f t="shared" ca="1" si="0"/>
        <v>2260.3333333333335</v>
      </c>
      <c r="E10" s="6">
        <v>4</v>
      </c>
      <c r="F10" s="2">
        <v>44.45</v>
      </c>
    </row>
    <row r="11" spans="1:6">
      <c r="A11" s="9">
        <v>10</v>
      </c>
      <c r="B11" s="2"/>
      <c r="C11" s="7">
        <f t="shared" ca="1" si="0"/>
        <v>2261.6666666666665</v>
      </c>
      <c r="E11" s="6">
        <v>5</v>
      </c>
      <c r="F11" s="2">
        <v>52.430625000000248</v>
      </c>
    </row>
  </sheetData>
  <phoneticPr fontId="9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31"/>
  <sheetViews>
    <sheetView tabSelected="1" workbookViewId="0">
      <selection activeCell="D15" sqref="D15"/>
    </sheetView>
  </sheetViews>
  <sheetFormatPr defaultRowHeight="15"/>
  <cols>
    <col min="1" max="1" width="2.375" style="10" customWidth="1"/>
    <col min="2" max="2" width="13.875" style="10" bestFit="1" customWidth="1"/>
    <col min="3" max="4" width="7.375" style="10" bestFit="1" customWidth="1"/>
    <col min="5" max="5" width="6.125" style="10" customWidth="1"/>
    <col min="6" max="6" width="8.75" style="11" customWidth="1"/>
    <col min="7" max="7" width="13.25" style="11" bestFit="1" customWidth="1"/>
    <col min="8" max="8" width="10.75" style="11" bestFit="1" customWidth="1"/>
    <col min="9" max="9" width="2.875" style="10" customWidth="1"/>
    <col min="10" max="10" width="25.125" style="10" customWidth="1"/>
    <col min="11" max="11" width="10.25" style="10" customWidth="1"/>
    <col min="12" max="12" width="9.625" style="10" customWidth="1"/>
    <col min="13" max="13" width="11.5" style="10" bestFit="1" customWidth="1"/>
    <col min="14" max="27" width="9" style="10"/>
  </cols>
  <sheetData>
    <row r="1" spans="2:12">
      <c r="G1" s="116" t="s">
        <v>141</v>
      </c>
      <c r="H1" s="116"/>
      <c r="J1" s="11"/>
      <c r="K1" s="116" t="s">
        <v>142</v>
      </c>
      <c r="L1" s="116"/>
    </row>
    <row r="2" spans="2:12">
      <c r="B2" s="12" t="s">
        <v>143</v>
      </c>
      <c r="C2" s="13"/>
      <c r="D2" s="14">
        <v>3000</v>
      </c>
      <c r="F2" s="52" t="s">
        <v>144</v>
      </c>
      <c r="G2" s="52" t="s">
        <v>145</v>
      </c>
      <c r="H2" s="52" t="s">
        <v>146</v>
      </c>
      <c r="J2" s="52" t="s">
        <v>147</v>
      </c>
      <c r="K2" s="52" t="s">
        <v>145</v>
      </c>
      <c r="L2" s="52" t="s">
        <v>146</v>
      </c>
    </row>
    <row r="3" spans="2:12">
      <c r="F3" s="15">
        <v>0</v>
      </c>
      <c r="G3" s="15">
        <v>45</v>
      </c>
      <c r="H3" s="15">
        <v>30</v>
      </c>
      <c r="J3" s="52" t="s">
        <v>148</v>
      </c>
      <c r="K3" s="15">
        <v>45</v>
      </c>
      <c r="L3" s="15">
        <v>30</v>
      </c>
    </row>
    <row r="4" spans="2:12" ht="15.75">
      <c r="B4" s="16"/>
      <c r="C4" s="17" t="s">
        <v>149</v>
      </c>
      <c r="D4" s="17" t="s">
        <v>150</v>
      </c>
      <c r="F4" s="15">
        <v>2000</v>
      </c>
      <c r="G4" s="15">
        <v>35</v>
      </c>
      <c r="H4" s="15">
        <v>20</v>
      </c>
      <c r="J4" s="54" t="s">
        <v>151</v>
      </c>
      <c r="K4" s="15">
        <v>35</v>
      </c>
      <c r="L4" s="15">
        <v>20</v>
      </c>
    </row>
    <row r="5" spans="2:12">
      <c r="B5" s="18" t="s">
        <v>39</v>
      </c>
      <c r="C5" s="19">
        <v>15000</v>
      </c>
      <c r="D5" s="19">
        <v>35000</v>
      </c>
      <c r="F5" s="15">
        <v>3000</v>
      </c>
      <c r="G5" s="15">
        <v>25</v>
      </c>
      <c r="H5" s="15">
        <v>15</v>
      </c>
      <c r="J5" s="52" t="s">
        <v>152</v>
      </c>
      <c r="K5" s="15">
        <v>25</v>
      </c>
      <c r="L5" s="15">
        <v>15</v>
      </c>
    </row>
    <row r="6" spans="2:12">
      <c r="B6" s="18" t="s">
        <v>141</v>
      </c>
      <c r="C6" s="55">
        <f>INDEX(G3:G5,MATCH(D2,F3:F5,1))</f>
        <v>25</v>
      </c>
      <c r="D6" s="55">
        <f>INDEX(H3:H5,MATCH(D2,F3:F5,1))</f>
        <v>15</v>
      </c>
      <c r="F6" s="10"/>
      <c r="G6" s="10"/>
      <c r="H6" s="10"/>
    </row>
    <row r="7" spans="2:12">
      <c r="B7" s="18" t="s">
        <v>40</v>
      </c>
      <c r="C7" s="56">
        <f>C5+C6*$D$2</f>
        <v>90000</v>
      </c>
      <c r="D7" s="56">
        <f>D5+D6*$D$2</f>
        <v>80000</v>
      </c>
      <c r="F7" s="10"/>
      <c r="G7" s="10"/>
      <c r="H7" s="10"/>
    </row>
    <row r="8" spans="2:12">
      <c r="B8" s="57"/>
      <c r="C8" s="57"/>
      <c r="D8" s="57"/>
      <c r="F8" s="58"/>
    </row>
    <row r="9" spans="2:12">
      <c r="B9" s="59"/>
      <c r="G9" s="58"/>
      <c r="H9" s="58"/>
    </row>
    <row r="10" spans="2:12">
      <c r="G10" s="61">
        <f>C7</f>
        <v>90000</v>
      </c>
      <c r="H10" s="61">
        <f>D7</f>
        <v>80000</v>
      </c>
    </row>
    <row r="11" spans="2:12">
      <c r="F11" s="54">
        <v>0</v>
      </c>
      <c r="G11" s="62">
        <v>15000</v>
      </c>
      <c r="H11" s="62">
        <v>35000</v>
      </c>
    </row>
    <row r="12" spans="2:12">
      <c r="F12" s="54">
        <f>F4-0.001</f>
        <v>1999.999</v>
      </c>
      <c r="G12" s="129">
        <v>104999.955</v>
      </c>
      <c r="H12" s="129">
        <v>94999.97</v>
      </c>
    </row>
    <row r="13" spans="2:12">
      <c r="F13" s="54">
        <f>F4</f>
        <v>2000</v>
      </c>
      <c r="G13" s="62">
        <v>85000</v>
      </c>
      <c r="H13" s="62">
        <v>75000</v>
      </c>
    </row>
    <row r="14" spans="2:12">
      <c r="F14" s="54">
        <f>F5-0.001</f>
        <v>2999.9989999999998</v>
      </c>
      <c r="G14" s="62">
        <v>119999.965</v>
      </c>
      <c r="H14" s="62">
        <v>94999.98</v>
      </c>
    </row>
    <row r="15" spans="2:12">
      <c r="D15" s="57"/>
      <c r="F15" s="54">
        <f>F5</f>
        <v>3000</v>
      </c>
      <c r="G15" s="62">
        <v>90000</v>
      </c>
      <c r="H15" s="62">
        <v>80000</v>
      </c>
    </row>
    <row r="16" spans="2:12">
      <c r="F16" s="54">
        <v>5000</v>
      </c>
      <c r="G16" s="62">
        <v>140000</v>
      </c>
      <c r="H16" s="62">
        <v>110000</v>
      </c>
    </row>
    <row r="17" spans="3:8">
      <c r="G17" s="10"/>
      <c r="H17" s="10"/>
    </row>
    <row r="18" spans="3:8">
      <c r="F18" s="63"/>
      <c r="G18" s="64"/>
      <c r="H18" s="10"/>
    </row>
    <row r="19" spans="3:8">
      <c r="F19" s="63"/>
      <c r="G19" s="64"/>
    </row>
    <row r="20" spans="3:8">
      <c r="F20" s="63"/>
      <c r="G20" s="64"/>
    </row>
    <row r="21" spans="3:8">
      <c r="F21" s="63"/>
      <c r="G21" s="65"/>
      <c r="H21" s="65"/>
    </row>
    <row r="22" spans="3:8">
      <c r="F22" s="60"/>
      <c r="G22" s="60"/>
      <c r="H22" s="60"/>
    </row>
    <row r="23" spans="3:8">
      <c r="C23" s="59"/>
      <c r="F23" s="60"/>
      <c r="G23" s="60"/>
      <c r="H23" s="60"/>
    </row>
    <row r="24" spans="3:8">
      <c r="F24" s="60"/>
      <c r="G24" s="60"/>
      <c r="H24" s="60"/>
    </row>
    <row r="25" spans="3:8">
      <c r="F25" s="60"/>
      <c r="G25" s="60"/>
      <c r="H25" s="60"/>
    </row>
    <row r="26" spans="3:8">
      <c r="F26" s="60"/>
      <c r="G26" s="60"/>
      <c r="H26" s="60"/>
    </row>
    <row r="28" spans="3:8">
      <c r="F28" s="59"/>
      <c r="G28" s="10"/>
    </row>
    <row r="29" spans="3:8">
      <c r="F29" s="66"/>
      <c r="G29" s="63"/>
    </row>
    <row r="30" spans="3:8">
      <c r="F30" s="66"/>
      <c r="G30" s="63"/>
    </row>
    <row r="31" spans="3:8">
      <c r="F31" s="66"/>
      <c r="G31" s="63"/>
    </row>
  </sheetData>
  <mergeCells count="2">
    <mergeCell ref="G1:H1"/>
    <mergeCell ref="K1:L1"/>
  </mergeCells>
  <phoneticPr fontId="9" type="noConversion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3" name="Spinner 1">
              <controlPr defaultSize="0" autoPict="0">
                <anchor moveWithCells="1" sizeWithCells="1">
                  <from>
                    <xdr:col>4</xdr:col>
                    <xdr:colOff>0</xdr:colOff>
                    <xdr:row>1</xdr:row>
                    <xdr:rowOff>0</xdr:rowOff>
                  </from>
                  <to>
                    <xdr:col>4</xdr:col>
                    <xdr:colOff>209550</xdr:colOff>
                    <xdr:row>2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51"/>
  <sheetViews>
    <sheetView workbookViewId="0">
      <selection activeCell="E14" sqref="E14"/>
    </sheetView>
  </sheetViews>
  <sheetFormatPr defaultRowHeight="13.5"/>
  <cols>
    <col min="1" max="1" width="6.375" style="67" customWidth="1"/>
    <col min="2" max="2" width="16.25" style="67" customWidth="1"/>
    <col min="3" max="3" width="19.75" style="67" customWidth="1"/>
    <col min="4" max="4" width="23.5" style="67" customWidth="1"/>
    <col min="5" max="14" width="9" style="67"/>
  </cols>
  <sheetData>
    <row r="2" spans="2:13">
      <c r="C2" s="20" t="s">
        <v>41</v>
      </c>
      <c r="D2" s="20" t="s">
        <v>42</v>
      </c>
      <c r="F2" s="68">
        <f>D18</f>
        <v>39800</v>
      </c>
      <c r="G2" s="68">
        <v>6000</v>
      </c>
      <c r="H2" s="67">
        <v>6500</v>
      </c>
      <c r="I2" s="68">
        <v>7000</v>
      </c>
      <c r="J2" s="67">
        <v>7500</v>
      </c>
      <c r="K2" s="68">
        <v>8000</v>
      </c>
      <c r="L2" s="67">
        <v>8500</v>
      </c>
      <c r="M2" s="69">
        <v>7500</v>
      </c>
    </row>
    <row r="3" spans="2:13">
      <c r="B3" s="20" t="s">
        <v>43</v>
      </c>
      <c r="C3" s="21">
        <f>M2</f>
        <v>7500</v>
      </c>
      <c r="D3" s="22">
        <f>C3</f>
        <v>7500</v>
      </c>
      <c r="F3" s="70">
        <v>100</v>
      </c>
      <c r="G3" s="70">
        <v>32025</v>
      </c>
      <c r="H3" s="67">
        <v>34675</v>
      </c>
      <c r="I3" s="67">
        <v>37325</v>
      </c>
      <c r="J3" s="67">
        <v>39975</v>
      </c>
      <c r="K3" s="67">
        <v>42625</v>
      </c>
      <c r="L3" s="67">
        <v>45275</v>
      </c>
      <c r="M3" s="67">
        <v>39975</v>
      </c>
    </row>
    <row r="4" spans="2:13">
      <c r="B4" s="20" t="s">
        <v>44</v>
      </c>
      <c r="C4" s="22">
        <v>5</v>
      </c>
      <c r="D4" s="22">
        <f>IF(D14&gt;=D9,C4*(1-D10),C4)</f>
        <v>4.75</v>
      </c>
      <c r="F4" s="70">
        <v>150</v>
      </c>
      <c r="G4" s="70">
        <v>31537.5</v>
      </c>
      <c r="H4" s="67">
        <v>34137.5</v>
      </c>
      <c r="I4" s="67">
        <v>36737.5</v>
      </c>
      <c r="J4" s="67">
        <v>39337.5</v>
      </c>
      <c r="K4" s="67">
        <v>41937.5</v>
      </c>
      <c r="L4" s="67">
        <v>44537.5</v>
      </c>
      <c r="M4" s="67">
        <v>39337.5</v>
      </c>
    </row>
    <row r="5" spans="2:13">
      <c r="B5" s="20" t="s">
        <v>45</v>
      </c>
      <c r="C5" s="23">
        <v>0.9</v>
      </c>
      <c r="D5" s="23">
        <v>0.9</v>
      </c>
      <c r="F5" s="70">
        <v>200</v>
      </c>
      <c r="G5" s="70">
        <v>31350</v>
      </c>
      <c r="H5" s="67">
        <v>33925</v>
      </c>
      <c r="I5" s="67">
        <v>36500</v>
      </c>
      <c r="J5" s="67">
        <v>39075</v>
      </c>
      <c r="K5" s="67">
        <v>41650</v>
      </c>
      <c r="L5" s="67">
        <v>44225</v>
      </c>
      <c r="M5" s="67">
        <v>39075</v>
      </c>
    </row>
    <row r="6" spans="2:13">
      <c r="B6" s="20" t="s">
        <v>46</v>
      </c>
      <c r="C6" s="22">
        <v>30</v>
      </c>
      <c r="D6" s="22">
        <f>C6</f>
        <v>30</v>
      </c>
      <c r="F6" s="70">
        <v>250</v>
      </c>
      <c r="G6" s="70">
        <v>31282.5</v>
      </c>
      <c r="H6" s="67">
        <v>33842.5</v>
      </c>
      <c r="I6" s="67">
        <v>36402.5</v>
      </c>
      <c r="J6" s="67">
        <v>38962.5</v>
      </c>
      <c r="K6" s="67">
        <v>41522.5</v>
      </c>
      <c r="L6" s="67">
        <v>44082.5</v>
      </c>
      <c r="M6" s="67">
        <v>38962.5</v>
      </c>
    </row>
    <row r="7" spans="2:13">
      <c r="B7" s="20" t="s">
        <v>47</v>
      </c>
      <c r="C7" s="24">
        <f>C4*C5</f>
        <v>4.5</v>
      </c>
      <c r="D7" s="24">
        <f>C7</f>
        <v>4.5</v>
      </c>
      <c r="F7" s="70">
        <v>300</v>
      </c>
      <c r="G7" s="70">
        <v>31275</v>
      </c>
      <c r="H7" s="67">
        <v>33825</v>
      </c>
      <c r="I7" s="67">
        <v>36375</v>
      </c>
      <c r="J7" s="67">
        <v>38925</v>
      </c>
      <c r="K7" s="67">
        <v>41475</v>
      </c>
      <c r="L7" s="67">
        <v>44025</v>
      </c>
      <c r="M7" s="67">
        <v>38925</v>
      </c>
    </row>
    <row r="8" spans="2:13">
      <c r="F8" s="70">
        <v>350</v>
      </c>
      <c r="G8" s="70">
        <v>31301.785714285714</v>
      </c>
      <c r="H8" s="67">
        <v>33844.642857142855</v>
      </c>
      <c r="I8" s="67">
        <v>36387.5</v>
      </c>
      <c r="J8" s="67">
        <v>38930.357142857145</v>
      </c>
      <c r="K8" s="67">
        <v>41473.214285714283</v>
      </c>
      <c r="L8" s="67">
        <v>44016.071428571428</v>
      </c>
      <c r="M8" s="67">
        <v>38930.357142857145</v>
      </c>
    </row>
    <row r="9" spans="2:13">
      <c r="B9" s="20" t="s">
        <v>153</v>
      </c>
      <c r="C9" s="25"/>
      <c r="D9" s="22">
        <v>1800</v>
      </c>
      <c r="F9" s="70">
        <v>400</v>
      </c>
      <c r="G9" s="70">
        <v>31350</v>
      </c>
      <c r="H9" s="67">
        <v>33887.5</v>
      </c>
      <c r="I9" s="67">
        <v>36425</v>
      </c>
      <c r="J9" s="67">
        <v>38962.5</v>
      </c>
      <c r="K9" s="67">
        <v>41500</v>
      </c>
      <c r="L9" s="67">
        <v>44037.5</v>
      </c>
      <c r="M9" s="67">
        <v>38962.5</v>
      </c>
    </row>
    <row r="10" spans="2:13">
      <c r="B10" s="20" t="s">
        <v>48</v>
      </c>
      <c r="C10" s="25"/>
      <c r="D10" s="26">
        <v>0.05</v>
      </c>
      <c r="F10" s="70">
        <v>450</v>
      </c>
      <c r="G10" s="70">
        <v>31412.5</v>
      </c>
      <c r="H10" s="67">
        <v>33945.833333333336</v>
      </c>
      <c r="I10" s="67">
        <v>36479.166666666664</v>
      </c>
      <c r="J10" s="67">
        <v>39012.5</v>
      </c>
      <c r="K10" s="67">
        <v>41545.833333333336</v>
      </c>
      <c r="L10" s="67">
        <v>44079.166666666664</v>
      </c>
      <c r="M10" s="67">
        <v>39012.5</v>
      </c>
    </row>
    <row r="11" spans="2:13">
      <c r="B11" s="20" t="s">
        <v>49</v>
      </c>
      <c r="C11" s="25"/>
      <c r="D11" s="24">
        <v>4.8499999999999996</v>
      </c>
      <c r="F11" s="70">
        <v>500</v>
      </c>
      <c r="G11" s="70">
        <v>31485</v>
      </c>
      <c r="H11" s="67">
        <v>34015</v>
      </c>
      <c r="I11" s="67">
        <v>36545</v>
      </c>
      <c r="J11" s="67">
        <v>39075</v>
      </c>
      <c r="K11" s="67">
        <v>41605</v>
      </c>
      <c r="L11" s="67">
        <v>44135</v>
      </c>
      <c r="M11" s="67">
        <v>39075</v>
      </c>
    </row>
    <row r="12" spans="2:13">
      <c r="F12" s="70">
        <v>550</v>
      </c>
      <c r="G12" s="70">
        <v>31564.772727272728</v>
      </c>
      <c r="H12" s="67">
        <v>34092.045454545456</v>
      </c>
      <c r="I12" s="67">
        <v>36619.318181818184</v>
      </c>
      <c r="J12" s="67">
        <v>39146.590909090912</v>
      </c>
      <c r="K12" s="67">
        <v>41673.86363636364</v>
      </c>
      <c r="L12" s="67">
        <v>44201.13636363636</v>
      </c>
      <c r="M12" s="67">
        <v>39146.590909090912</v>
      </c>
    </row>
    <row r="13" spans="2:13">
      <c r="C13" s="27" t="s">
        <v>50</v>
      </c>
      <c r="D13" s="27" t="s">
        <v>154</v>
      </c>
      <c r="F13" s="70">
        <v>600</v>
      </c>
      <c r="G13" s="70">
        <v>31650</v>
      </c>
      <c r="H13" s="67">
        <v>34175</v>
      </c>
      <c r="I13" s="67">
        <v>36700</v>
      </c>
      <c r="J13" s="67">
        <v>39225</v>
      </c>
      <c r="K13" s="67">
        <v>41750</v>
      </c>
      <c r="L13" s="67">
        <v>44275</v>
      </c>
      <c r="M13" s="67">
        <v>39225</v>
      </c>
    </row>
    <row r="14" spans="2:13">
      <c r="B14" s="27" t="s">
        <v>51</v>
      </c>
      <c r="C14" s="28">
        <f>SQRT(2*C6*C3/C7)</f>
        <v>316.22776601683796</v>
      </c>
      <c r="D14" s="29">
        <f>D9</f>
        <v>1800</v>
      </c>
      <c r="F14" s="70">
        <v>650</v>
      </c>
      <c r="G14" s="70">
        <v>31739.423076923078</v>
      </c>
      <c r="H14" s="67">
        <v>34262.5</v>
      </c>
      <c r="I14" s="67">
        <v>36785.576923076922</v>
      </c>
      <c r="J14" s="67">
        <v>39308.653846153844</v>
      </c>
      <c r="K14" s="67">
        <v>41831.730769230766</v>
      </c>
      <c r="L14" s="67">
        <v>44354.807692307695</v>
      </c>
      <c r="M14" s="67">
        <v>39308.653846153844</v>
      </c>
    </row>
    <row r="15" spans="2:13">
      <c r="B15" s="27" t="s">
        <v>52</v>
      </c>
      <c r="C15" s="28">
        <f>C4*C3</f>
        <v>37500</v>
      </c>
      <c r="D15" s="29">
        <f>D4*D3</f>
        <v>35625</v>
      </c>
      <c r="F15" s="70">
        <v>700</v>
      </c>
      <c r="G15" s="70">
        <v>31832.142857142859</v>
      </c>
      <c r="H15" s="67">
        <v>34353.571428571428</v>
      </c>
      <c r="I15" s="67">
        <v>36875</v>
      </c>
      <c r="J15" s="67">
        <v>39396.428571428572</v>
      </c>
      <c r="K15" s="67">
        <v>41917.857142857145</v>
      </c>
      <c r="L15" s="67">
        <v>44439.285714285717</v>
      </c>
      <c r="M15" s="67">
        <v>39396.428571428572</v>
      </c>
    </row>
    <row r="16" spans="2:13">
      <c r="B16" s="27" t="s">
        <v>53</v>
      </c>
      <c r="C16" s="28">
        <f>C6*C3/C14</f>
        <v>711.51247353788528</v>
      </c>
      <c r="D16" s="29">
        <f>D6*D3/D14</f>
        <v>125</v>
      </c>
      <c r="F16" s="70">
        <v>750</v>
      </c>
      <c r="G16" s="70">
        <v>31927.5</v>
      </c>
      <c r="H16" s="67">
        <v>34447.5</v>
      </c>
      <c r="I16" s="67">
        <v>36967.5</v>
      </c>
      <c r="J16" s="67">
        <v>39487.5</v>
      </c>
      <c r="K16" s="67">
        <v>42007.5</v>
      </c>
      <c r="L16" s="67">
        <v>44527.5</v>
      </c>
      <c r="M16" s="67">
        <v>39487.5</v>
      </c>
    </row>
    <row r="17" spans="1:13">
      <c r="B17" s="27" t="s">
        <v>54</v>
      </c>
      <c r="C17" s="28">
        <f>C7*C14/2</f>
        <v>711.5124735378854</v>
      </c>
      <c r="D17" s="29">
        <f>D7*D14/2</f>
        <v>4050</v>
      </c>
      <c r="F17" s="70">
        <v>800</v>
      </c>
      <c r="G17" s="70">
        <v>32025</v>
      </c>
      <c r="H17" s="67">
        <v>34543.75</v>
      </c>
      <c r="I17" s="67">
        <v>37062.5</v>
      </c>
      <c r="J17" s="67">
        <v>39581.25</v>
      </c>
      <c r="K17" s="67">
        <v>42100</v>
      </c>
      <c r="L17" s="67">
        <v>44618.75</v>
      </c>
      <c r="M17" s="67">
        <v>39581.25</v>
      </c>
    </row>
    <row r="18" spans="1:13" ht="14.25" thickBot="1">
      <c r="B18" s="30" t="s">
        <v>55</v>
      </c>
      <c r="C18" s="28">
        <f>SUM(C15:C17)</f>
        <v>38923.02494707577</v>
      </c>
      <c r="D18" s="28">
        <f>SUM(D15:D17)</f>
        <v>39800</v>
      </c>
      <c r="F18" s="70">
        <v>850</v>
      </c>
      <c r="G18" s="70">
        <v>32124.264705882353</v>
      </c>
      <c r="H18" s="67">
        <v>34641.911764705881</v>
      </c>
      <c r="I18" s="67">
        <v>37159.558823529413</v>
      </c>
      <c r="J18" s="67">
        <v>39677.205882352944</v>
      </c>
      <c r="K18" s="67">
        <v>42194.852941176468</v>
      </c>
      <c r="L18" s="67">
        <v>44712.5</v>
      </c>
      <c r="M18" s="67">
        <v>39677.205882352944</v>
      </c>
    </row>
    <row r="19" spans="1:13">
      <c r="F19" s="70">
        <v>900</v>
      </c>
      <c r="G19" s="70">
        <v>32225</v>
      </c>
      <c r="H19" s="67">
        <v>34741.666666666672</v>
      </c>
      <c r="I19" s="67">
        <v>37258.333333333336</v>
      </c>
      <c r="J19" s="67">
        <v>39775</v>
      </c>
      <c r="K19" s="67">
        <v>42291.666666666664</v>
      </c>
      <c r="L19" s="67">
        <v>44808.333333333336</v>
      </c>
      <c r="M19" s="67">
        <v>39775</v>
      </c>
    </row>
    <row r="20" spans="1:13">
      <c r="A20" s="70"/>
      <c r="B20" s="70" t="str">
        <f>B3&amp;"="&amp;C3</f>
        <v>年需求量=7500</v>
      </c>
      <c r="C20" s="70"/>
      <c r="D20" s="70"/>
      <c r="F20" s="70">
        <v>950</v>
      </c>
      <c r="G20" s="70">
        <v>32326.973684210527</v>
      </c>
      <c r="H20" s="67">
        <v>34842.763157894733</v>
      </c>
      <c r="I20" s="67">
        <v>37358.552631578947</v>
      </c>
      <c r="J20" s="67">
        <v>39874.34210526316</v>
      </c>
      <c r="K20" s="67">
        <v>42390.131578947367</v>
      </c>
      <c r="L20" s="67">
        <v>44905.92105263158</v>
      </c>
      <c r="M20" s="67">
        <v>39874.34210526316</v>
      </c>
    </row>
    <row r="21" spans="1:13">
      <c r="A21" s="70"/>
      <c r="B21" s="67" t="str">
        <f>B9&amp;"="&amp;D9</f>
        <v>采购阈限值=1800</v>
      </c>
      <c r="C21" s="68"/>
      <c r="D21" s="68"/>
      <c r="F21" s="70">
        <v>1000</v>
      </c>
      <c r="G21" s="70">
        <v>32430</v>
      </c>
      <c r="H21" s="67">
        <v>34945</v>
      </c>
      <c r="I21" s="67">
        <v>37460</v>
      </c>
      <c r="J21" s="67">
        <v>39975</v>
      </c>
      <c r="K21" s="67">
        <v>42490</v>
      </c>
      <c r="L21" s="67">
        <v>45005</v>
      </c>
      <c r="M21" s="67">
        <v>39975</v>
      </c>
    </row>
    <row r="22" spans="1:13">
      <c r="A22" s="70"/>
      <c r="C22" s="70"/>
      <c r="D22" s="68"/>
      <c r="F22" s="70">
        <v>1050</v>
      </c>
      <c r="G22" s="70">
        <v>32533.928571428572</v>
      </c>
      <c r="H22" s="67">
        <v>35048.21428571429</v>
      </c>
      <c r="I22" s="67">
        <v>37562.5</v>
      </c>
      <c r="J22" s="67">
        <v>40076.785714285717</v>
      </c>
      <c r="K22" s="67">
        <v>42591.071428571428</v>
      </c>
      <c r="L22" s="67">
        <v>45105.357142857145</v>
      </c>
      <c r="M22" s="67">
        <v>40076.785714285717</v>
      </c>
    </row>
    <row r="23" spans="1:13">
      <c r="F23" s="70">
        <v>1100</v>
      </c>
      <c r="G23" s="70">
        <v>32638.636363636364</v>
      </c>
      <c r="H23" s="67">
        <v>35152.272727272728</v>
      </c>
      <c r="I23" s="67">
        <v>37665.909090909088</v>
      </c>
      <c r="J23" s="67">
        <v>40179.545454545456</v>
      </c>
      <c r="K23" s="67">
        <v>42693.181818181816</v>
      </c>
      <c r="L23" s="67">
        <v>45206.818181818184</v>
      </c>
      <c r="M23" s="67">
        <v>40179.545454545456</v>
      </c>
    </row>
    <row r="24" spans="1:13">
      <c r="F24" s="70">
        <v>1150</v>
      </c>
      <c r="G24" s="70">
        <v>32744.021739130436</v>
      </c>
      <c r="H24" s="67">
        <v>35257.065217391304</v>
      </c>
      <c r="I24" s="67">
        <v>37770.108695652176</v>
      </c>
      <c r="J24" s="67">
        <v>40283.15217391304</v>
      </c>
      <c r="K24" s="67">
        <v>42796.195652173912</v>
      </c>
      <c r="L24" s="67">
        <v>45309.239130434784</v>
      </c>
      <c r="M24" s="67">
        <v>40283.15217391304</v>
      </c>
    </row>
    <row r="25" spans="1:13">
      <c r="A25" s="70"/>
      <c r="D25" s="68"/>
      <c r="F25" s="70">
        <f>F26-0.000001</f>
        <v>1799.9999989999999</v>
      </c>
      <c r="G25" s="70">
        <v>34149.999997805557</v>
      </c>
      <c r="H25" s="67">
        <v>36658.33333114352</v>
      </c>
      <c r="I25" s="67">
        <v>39166.666664481476</v>
      </c>
      <c r="J25" s="67">
        <v>41674.999997819439</v>
      </c>
      <c r="K25" s="67">
        <v>44183.333331157402</v>
      </c>
      <c r="L25" s="67">
        <v>46691.666664495366</v>
      </c>
      <c r="M25" s="67">
        <v>41674.999997819439</v>
      </c>
    </row>
    <row r="26" spans="1:13">
      <c r="A26" s="70"/>
      <c r="D26" s="70"/>
      <c r="F26" s="68">
        <f>D9</f>
        <v>1800</v>
      </c>
      <c r="G26" s="70">
        <v>32650</v>
      </c>
      <c r="H26" s="67">
        <v>35033.333333333328</v>
      </c>
      <c r="I26" s="67">
        <v>37416.666666666664</v>
      </c>
      <c r="J26" s="67">
        <v>39800</v>
      </c>
      <c r="K26" s="67">
        <v>42183.333333333336</v>
      </c>
      <c r="L26" s="67">
        <v>44566.666666666664</v>
      </c>
      <c r="M26" s="67">
        <v>39800</v>
      </c>
    </row>
    <row r="27" spans="1:13">
      <c r="A27" s="70"/>
      <c r="D27" s="70"/>
      <c r="F27" s="70">
        <v>2200</v>
      </c>
      <c r="G27" s="70">
        <v>33531.818181818177</v>
      </c>
      <c r="H27" s="67">
        <v>35913.636363636368</v>
      </c>
      <c r="I27" s="67">
        <v>38295.454545454544</v>
      </c>
      <c r="J27" s="67">
        <v>40677.272727272728</v>
      </c>
      <c r="K27" s="67">
        <v>43059.090909090912</v>
      </c>
      <c r="L27" s="67">
        <v>45440.909090909088</v>
      </c>
      <c r="M27" s="67">
        <v>40677.272727272728</v>
      </c>
    </row>
    <row r="28" spans="1:13">
      <c r="A28" s="70"/>
      <c r="D28" s="70"/>
    </row>
    <row r="29" spans="1:13">
      <c r="A29" s="70"/>
      <c r="D29" s="70"/>
    </row>
    <row r="30" spans="1:13">
      <c r="A30" s="70"/>
      <c r="D30" s="70"/>
      <c r="F30" s="67">
        <v>100</v>
      </c>
      <c r="G30" s="71">
        <f>MIN($C$18:$D$18)</f>
        <v>38923.02494707577</v>
      </c>
    </row>
    <row r="31" spans="1:13">
      <c r="A31" s="70"/>
      <c r="D31" s="70"/>
      <c r="F31" s="67">
        <f>IF(D18&lt;C18,D14,C14)</f>
        <v>316.22776601683796</v>
      </c>
      <c r="G31" s="71">
        <f t="shared" ref="G31:G32" si="0">MIN($C$18:$D$18)</f>
        <v>38923.02494707577</v>
      </c>
    </row>
    <row r="32" spans="1:13">
      <c r="A32" s="70"/>
      <c r="D32" s="70"/>
      <c r="F32" s="67">
        <v>2200</v>
      </c>
      <c r="G32" s="71">
        <f t="shared" si="0"/>
        <v>38923.02494707577</v>
      </c>
    </row>
    <row r="51" spans="2:3">
      <c r="B51" s="68"/>
      <c r="C51" s="70"/>
    </row>
  </sheetData>
  <phoneticPr fontId="3" type="noConversion"/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0"/>
  <sheetViews>
    <sheetView workbookViewId="0">
      <selection activeCell="M9" sqref="M9"/>
    </sheetView>
  </sheetViews>
  <sheetFormatPr defaultRowHeight="14.25"/>
  <cols>
    <col min="1" max="1" width="4.5" style="101" bestFit="1" customWidth="1"/>
    <col min="2" max="2" width="27" style="101" customWidth="1"/>
    <col min="3" max="3" width="13.75" style="101" customWidth="1"/>
    <col min="4" max="4" width="9" style="101"/>
    <col min="5" max="5" width="11" style="101" customWidth="1"/>
    <col min="6" max="6" width="13" style="101" bestFit="1" customWidth="1"/>
    <col min="7" max="9" width="9" style="101"/>
    <col min="10" max="10" width="13" style="101" bestFit="1" customWidth="1"/>
    <col min="11" max="22" width="9" style="101"/>
  </cols>
  <sheetData>
    <row r="1" spans="1:12">
      <c r="A1" s="101" t="s">
        <v>203</v>
      </c>
      <c r="B1" s="102"/>
      <c r="C1" s="102"/>
      <c r="D1" s="102"/>
      <c r="E1" s="102"/>
      <c r="F1" s="102"/>
      <c r="G1" s="102"/>
      <c r="H1" s="102"/>
      <c r="I1" s="102"/>
      <c r="J1" s="102"/>
      <c r="K1" s="103"/>
      <c r="L1" s="102"/>
    </row>
    <row r="2" spans="1:12" ht="15">
      <c r="B2" s="104" t="s">
        <v>204</v>
      </c>
      <c r="C2" s="105">
        <v>100000</v>
      </c>
      <c r="D2" s="102"/>
      <c r="E2" s="102"/>
      <c r="F2" s="102"/>
      <c r="G2" s="102"/>
      <c r="H2" s="102"/>
      <c r="I2" s="102">
        <v>0</v>
      </c>
      <c r="J2" s="102">
        <f>C2</f>
        <v>100000</v>
      </c>
      <c r="K2" s="103"/>
      <c r="L2" s="102"/>
    </row>
    <row r="3" spans="1:12" ht="15">
      <c r="B3" s="104" t="s">
        <v>205</v>
      </c>
      <c r="C3" s="105">
        <v>9000</v>
      </c>
      <c r="D3" s="102"/>
      <c r="E3" s="102"/>
      <c r="F3" s="102"/>
      <c r="G3" s="102"/>
      <c r="H3" s="102"/>
      <c r="I3" s="102">
        <v>1</v>
      </c>
      <c r="J3" s="102">
        <f>-(C3+C4)</f>
        <v>-10000</v>
      </c>
      <c r="K3" s="103"/>
      <c r="L3" s="102"/>
    </row>
    <row r="4" spans="1:12" ht="15">
      <c r="B4" s="104" t="s">
        <v>206</v>
      </c>
      <c r="C4" s="105">
        <v>1000</v>
      </c>
      <c r="D4" s="102"/>
      <c r="E4" s="102"/>
      <c r="F4" s="102"/>
      <c r="G4" s="102"/>
      <c r="H4" s="102"/>
      <c r="I4" s="102">
        <v>2</v>
      </c>
      <c r="J4" s="102">
        <f>-$C$5</f>
        <v>-1000</v>
      </c>
      <c r="K4" s="103"/>
      <c r="L4" s="102"/>
    </row>
    <row r="5" spans="1:12" ht="15">
      <c r="B5" s="104" t="s">
        <v>207</v>
      </c>
      <c r="C5" s="105">
        <v>1000</v>
      </c>
      <c r="D5" s="102"/>
      <c r="E5" s="102"/>
      <c r="F5" s="102"/>
      <c r="G5" s="102"/>
      <c r="H5" s="102"/>
      <c r="I5" s="102">
        <v>3</v>
      </c>
      <c r="J5" s="102">
        <f t="shared" ref="J5:J25" si="0">-$C$5</f>
        <v>-1000</v>
      </c>
      <c r="K5" s="103"/>
      <c r="L5" s="102"/>
    </row>
    <row r="6" spans="1:12" ht="15">
      <c r="B6" s="104" t="s">
        <v>208</v>
      </c>
      <c r="C6" s="105">
        <v>77000</v>
      </c>
      <c r="D6" s="102"/>
      <c r="E6" s="102"/>
      <c r="F6" s="102"/>
      <c r="G6" s="102"/>
      <c r="H6" s="102"/>
      <c r="I6" s="102">
        <v>4</v>
      </c>
      <c r="J6" s="102">
        <f t="shared" si="0"/>
        <v>-1000</v>
      </c>
      <c r="K6" s="103"/>
      <c r="L6" s="102"/>
    </row>
    <row r="7" spans="1:12" ht="15">
      <c r="B7" s="104" t="s">
        <v>209</v>
      </c>
      <c r="C7" s="106">
        <f>IRR(J2:J26)*12</f>
        <v>5.3355605311051768E-2</v>
      </c>
      <c r="D7" s="102"/>
      <c r="E7" s="102"/>
      <c r="F7" s="102"/>
      <c r="G7" s="102"/>
      <c r="H7" s="103"/>
      <c r="I7" s="102">
        <v>5</v>
      </c>
      <c r="J7" s="102">
        <f t="shared" si="0"/>
        <v>-1000</v>
      </c>
    </row>
    <row r="8" spans="1:12">
      <c r="A8" s="102" t="s">
        <v>210</v>
      </c>
      <c r="D8" s="102"/>
      <c r="E8" s="102"/>
      <c r="F8" s="102"/>
      <c r="G8" s="102"/>
      <c r="H8" s="103"/>
      <c r="I8" s="102">
        <v>6</v>
      </c>
      <c r="J8" s="102">
        <f t="shared" si="0"/>
        <v>-1000</v>
      </c>
    </row>
    <row r="9" spans="1:12">
      <c r="A9" s="102"/>
      <c r="B9" s="104" t="s">
        <v>211</v>
      </c>
      <c r="C9" s="107">
        <v>200000</v>
      </c>
      <c r="D9" s="102"/>
      <c r="E9" s="102"/>
      <c r="F9" s="102"/>
      <c r="G9" s="102"/>
      <c r="H9" s="103"/>
      <c r="I9" s="102">
        <v>7</v>
      </c>
      <c r="J9" s="102">
        <f t="shared" si="0"/>
        <v>-1000</v>
      </c>
    </row>
    <row r="10" spans="1:12">
      <c r="A10" s="102"/>
      <c r="B10" s="104" t="s">
        <v>212</v>
      </c>
      <c r="C10" s="107">
        <v>5000</v>
      </c>
      <c r="D10" s="102"/>
      <c r="E10" s="102"/>
      <c r="F10" s="102"/>
      <c r="G10" s="102"/>
      <c r="H10" s="103"/>
      <c r="I10" s="102">
        <v>8</v>
      </c>
      <c r="J10" s="102">
        <f t="shared" si="0"/>
        <v>-1000</v>
      </c>
    </row>
    <row r="11" spans="1:12">
      <c r="A11" s="102"/>
      <c r="B11" s="104" t="s">
        <v>213</v>
      </c>
      <c r="C11" s="107">
        <v>10</v>
      </c>
      <c r="D11" s="102"/>
      <c r="E11" s="102"/>
      <c r="F11" s="102"/>
      <c r="G11" s="102"/>
      <c r="H11" s="103"/>
      <c r="I11" s="102">
        <v>9</v>
      </c>
      <c r="J11" s="102">
        <f t="shared" si="0"/>
        <v>-1000</v>
      </c>
    </row>
    <row r="12" spans="1:12">
      <c r="A12" s="102"/>
      <c r="B12" s="104" t="s">
        <v>214</v>
      </c>
      <c r="C12" s="108">
        <v>0.08</v>
      </c>
      <c r="D12" s="102"/>
      <c r="E12" s="102"/>
      <c r="F12" s="102"/>
      <c r="G12" s="102"/>
      <c r="H12" s="103"/>
      <c r="I12" s="102">
        <v>10</v>
      </c>
      <c r="J12" s="102">
        <f t="shared" si="0"/>
        <v>-1000</v>
      </c>
    </row>
    <row r="13" spans="1:12" ht="15">
      <c r="A13" s="102"/>
      <c r="B13" s="104" t="s">
        <v>215</v>
      </c>
      <c r="C13" s="109">
        <f>FV(C12/12,C11*12,-C10,-C9)</f>
        <v>1358658.2228174787</v>
      </c>
      <c r="D13" s="102"/>
      <c r="E13" s="102"/>
      <c r="F13" s="102"/>
      <c r="G13" s="102"/>
      <c r="H13" s="103"/>
      <c r="I13" s="102">
        <v>11</v>
      </c>
      <c r="J13" s="102">
        <f t="shared" si="0"/>
        <v>-1000</v>
      </c>
    </row>
    <row r="14" spans="1:12">
      <c r="A14" s="102"/>
      <c r="B14" s="102"/>
      <c r="C14" s="102"/>
      <c r="D14" s="102"/>
      <c r="E14" s="102"/>
      <c r="F14" s="102"/>
      <c r="G14" s="102"/>
      <c r="H14" s="103"/>
      <c r="I14" s="102">
        <v>12</v>
      </c>
      <c r="J14" s="102">
        <f t="shared" si="0"/>
        <v>-1000</v>
      </c>
    </row>
    <row r="15" spans="1:12">
      <c r="A15" s="101" t="s">
        <v>216</v>
      </c>
      <c r="D15" s="102"/>
      <c r="E15" s="102"/>
      <c r="F15" s="102"/>
      <c r="G15" s="102"/>
      <c r="H15" s="103"/>
      <c r="I15" s="102">
        <v>13</v>
      </c>
      <c r="J15" s="102">
        <f t="shared" si="0"/>
        <v>-1000</v>
      </c>
    </row>
    <row r="16" spans="1:12">
      <c r="B16" s="104" t="s">
        <v>217</v>
      </c>
      <c r="C16" s="110">
        <v>100000</v>
      </c>
      <c r="D16" s="102"/>
      <c r="E16" s="102"/>
      <c r="F16" s="102"/>
      <c r="G16" s="103"/>
      <c r="H16" s="103"/>
      <c r="I16" s="102">
        <v>14</v>
      </c>
      <c r="J16" s="102">
        <f t="shared" si="0"/>
        <v>-1000</v>
      </c>
      <c r="K16" s="103"/>
      <c r="L16" s="102"/>
    </row>
    <row r="17" spans="1:12">
      <c r="B17" s="104" t="s">
        <v>214</v>
      </c>
      <c r="C17" s="111">
        <v>0.1</v>
      </c>
      <c r="D17" s="102"/>
      <c r="E17" s="102"/>
      <c r="F17" s="102"/>
      <c r="I17" s="102">
        <v>15</v>
      </c>
      <c r="J17" s="102">
        <f t="shared" si="0"/>
        <v>-1000</v>
      </c>
      <c r="L17" s="102"/>
    </row>
    <row r="18" spans="1:12">
      <c r="B18" s="104" t="s">
        <v>218</v>
      </c>
      <c r="C18" s="110">
        <v>2500</v>
      </c>
      <c r="D18" s="102"/>
      <c r="E18" s="102"/>
      <c r="F18" s="102"/>
      <c r="I18" s="102">
        <v>16</v>
      </c>
      <c r="J18" s="102">
        <f t="shared" si="0"/>
        <v>-1000</v>
      </c>
    </row>
    <row r="19" spans="1:12" ht="15">
      <c r="B19" s="104" t="s">
        <v>219</v>
      </c>
      <c r="C19" s="109">
        <f>NPER(C17/12,-C18,C16)/12</f>
        <v>4.0715220934256244</v>
      </c>
      <c r="D19" s="102"/>
      <c r="E19" s="102"/>
      <c r="F19" s="102"/>
      <c r="I19" s="102">
        <v>17</v>
      </c>
      <c r="J19" s="102">
        <f t="shared" si="0"/>
        <v>-1000</v>
      </c>
    </row>
    <row r="20" spans="1:12">
      <c r="D20" s="102"/>
      <c r="E20" s="102"/>
      <c r="F20" s="112"/>
      <c r="I20" s="102">
        <v>18</v>
      </c>
      <c r="J20" s="102">
        <f t="shared" si="0"/>
        <v>-1000</v>
      </c>
    </row>
    <row r="21" spans="1:12" ht="15">
      <c r="A21" s="101" t="s">
        <v>220</v>
      </c>
      <c r="B21" s="113" t="s">
        <v>221</v>
      </c>
      <c r="C21" s="110">
        <v>100000</v>
      </c>
      <c r="D21" s="102"/>
      <c r="E21" s="102"/>
      <c r="F21" s="102"/>
      <c r="I21" s="102">
        <v>19</v>
      </c>
      <c r="J21" s="102">
        <f t="shared" si="0"/>
        <v>-1000</v>
      </c>
    </row>
    <row r="22" spans="1:12" ht="15">
      <c r="B22" s="113" t="s">
        <v>222</v>
      </c>
      <c r="C22" s="110">
        <v>10000</v>
      </c>
      <c r="D22" s="102"/>
      <c r="E22" s="102"/>
      <c r="F22" s="102"/>
      <c r="I22" s="102">
        <v>20</v>
      </c>
      <c r="J22" s="102">
        <f t="shared" si="0"/>
        <v>-1000</v>
      </c>
    </row>
    <row r="23" spans="1:12" ht="15">
      <c r="B23" s="114" t="s">
        <v>223</v>
      </c>
      <c r="C23" s="110">
        <v>5</v>
      </c>
      <c r="E23" s="102"/>
      <c r="I23" s="102">
        <v>21</v>
      </c>
      <c r="J23" s="102">
        <f t="shared" si="0"/>
        <v>-1000</v>
      </c>
    </row>
    <row r="24" spans="1:12">
      <c r="B24" s="6" t="s">
        <v>224</v>
      </c>
      <c r="C24" s="115">
        <f>SLN(C21,C22,C23)</f>
        <v>18000</v>
      </c>
      <c r="I24" s="102">
        <v>22</v>
      </c>
      <c r="J24" s="102">
        <f t="shared" si="0"/>
        <v>-1000</v>
      </c>
    </row>
    <row r="25" spans="1:12">
      <c r="I25" s="102">
        <v>23</v>
      </c>
      <c r="J25" s="102">
        <f t="shared" si="0"/>
        <v>-1000</v>
      </c>
    </row>
    <row r="26" spans="1:12">
      <c r="I26" s="102">
        <v>24</v>
      </c>
      <c r="J26" s="102">
        <f>-C6</f>
        <v>-77000</v>
      </c>
    </row>
    <row r="27" spans="1:12">
      <c r="I27" s="102"/>
      <c r="J27" s="102"/>
    </row>
    <row r="28" spans="1:12">
      <c r="I28" s="102"/>
    </row>
    <row r="29" spans="1:12">
      <c r="I29" s="102"/>
    </row>
    <row r="30" spans="1:12">
      <c r="I30" s="102"/>
    </row>
    <row r="31" spans="1:12">
      <c r="I31" s="102"/>
    </row>
    <row r="32" spans="1:12">
      <c r="I32" s="102"/>
    </row>
    <row r="33" spans="9:9">
      <c r="I33" s="102"/>
    </row>
    <row r="34" spans="9:9">
      <c r="I34" s="102"/>
    </row>
    <row r="35" spans="9:9">
      <c r="I35" s="102"/>
    </row>
    <row r="36" spans="9:9">
      <c r="I36" s="102"/>
    </row>
    <row r="37" spans="9:9">
      <c r="I37" s="102"/>
    </row>
    <row r="38" spans="9:9">
      <c r="I38" s="102"/>
    </row>
    <row r="39" spans="9:9">
      <c r="I39" s="102"/>
    </row>
    <row r="40" spans="9:9">
      <c r="I40" s="102"/>
    </row>
  </sheetData>
  <phoneticPr fontId="3" type="noConversion"/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I24"/>
  <sheetViews>
    <sheetView workbookViewId="0">
      <selection activeCell="E20" sqref="E20"/>
    </sheetView>
  </sheetViews>
  <sheetFormatPr defaultRowHeight="13.5"/>
  <cols>
    <col min="1" max="1" width="7.125" bestFit="1" customWidth="1"/>
    <col min="2" max="2" width="11.625" bestFit="1" customWidth="1"/>
    <col min="3" max="3" width="9.125" customWidth="1"/>
    <col min="4" max="4" width="2" customWidth="1"/>
    <col min="5" max="5" width="15.625" bestFit="1" customWidth="1"/>
    <col min="6" max="6" width="10.875" bestFit="1" customWidth="1"/>
    <col min="7" max="7" width="2.25" customWidth="1"/>
    <col min="9" max="9" width="11.625" bestFit="1" customWidth="1"/>
  </cols>
  <sheetData>
    <row r="2" spans="1:9" ht="24.75">
      <c r="A2" s="72" t="s">
        <v>155</v>
      </c>
      <c r="B2" s="73" t="s">
        <v>156</v>
      </c>
      <c r="C2" s="73" t="s">
        <v>157</v>
      </c>
      <c r="E2" s="31"/>
      <c r="F2" s="32" t="s">
        <v>56</v>
      </c>
    </row>
    <row r="3" spans="1:9">
      <c r="A3" s="72">
        <v>1</v>
      </c>
      <c r="B3" s="72">
        <v>113</v>
      </c>
      <c r="C3" s="72">
        <v>3258</v>
      </c>
      <c r="E3" s="31" t="s">
        <v>57</v>
      </c>
      <c r="F3" s="33">
        <v>40000</v>
      </c>
      <c r="H3">
        <f t="array" ref="H3:I3">LINEST(C3:C16,B3:B16)</f>
        <v>-2.2439186703238736</v>
      </c>
      <c r="I3">
        <v>3435.0994727860079</v>
      </c>
    </row>
    <row r="4" spans="1:9">
      <c r="A4" s="72">
        <v>2</v>
      </c>
      <c r="B4" s="72">
        <v>250</v>
      </c>
      <c r="C4" s="72">
        <v>2952</v>
      </c>
      <c r="E4" s="31" t="s">
        <v>158</v>
      </c>
      <c r="F4" s="34">
        <v>120</v>
      </c>
    </row>
    <row r="5" spans="1:9">
      <c r="A5" s="72">
        <v>3</v>
      </c>
      <c r="B5" s="72">
        <v>280</v>
      </c>
      <c r="C5" s="72">
        <v>2800</v>
      </c>
      <c r="E5" s="31" t="s">
        <v>159</v>
      </c>
      <c r="F5" s="34">
        <v>600</v>
      </c>
      <c r="H5" t="s">
        <v>160</v>
      </c>
      <c r="I5" t="s">
        <v>161</v>
      </c>
    </row>
    <row r="6" spans="1:9">
      <c r="A6" s="72">
        <v>4</v>
      </c>
      <c r="B6" s="72">
        <v>433</v>
      </c>
      <c r="C6" s="72">
        <v>2350</v>
      </c>
      <c r="E6" s="31" t="s">
        <v>162</v>
      </c>
      <c r="F6" s="35">
        <f>I3</f>
        <v>3435.0994727860079</v>
      </c>
      <c r="I6" s="74">
        <f>F11</f>
        <v>1141248.9623550102</v>
      </c>
    </row>
    <row r="7" spans="1:9">
      <c r="A7" s="72">
        <v>5</v>
      </c>
      <c r="B7" s="72">
        <v>516</v>
      </c>
      <c r="C7" s="72">
        <v>2280</v>
      </c>
      <c r="E7" s="31" t="s">
        <v>58</v>
      </c>
      <c r="F7" s="36">
        <f>H3</f>
        <v>-2.2439186703238736</v>
      </c>
      <c r="H7">
        <v>100</v>
      </c>
      <c r="I7">
        <v>269070.76057536207</v>
      </c>
    </row>
    <row r="8" spans="1:9">
      <c r="A8" s="72">
        <v>6</v>
      </c>
      <c r="B8" s="72">
        <v>633</v>
      </c>
      <c r="C8" s="72">
        <v>2002</v>
      </c>
      <c r="E8" s="31" t="s">
        <v>59</v>
      </c>
      <c r="F8" s="33">
        <f>F6+F7*F5</f>
        <v>2088.7482705916836</v>
      </c>
      <c r="H8">
        <v>200</v>
      </c>
      <c r="I8">
        <v>533263.14774424664</v>
      </c>
    </row>
    <row r="9" spans="1:9">
      <c r="A9" s="72">
        <v>7</v>
      </c>
      <c r="B9" s="72">
        <v>750</v>
      </c>
      <c r="C9" s="72">
        <v>1790</v>
      </c>
      <c r="E9" s="31" t="s">
        <v>163</v>
      </c>
      <c r="F9" s="33">
        <f>F3+F4*F5</f>
        <v>112000</v>
      </c>
      <c r="H9">
        <v>300</v>
      </c>
      <c r="I9">
        <v>752577.16150665376</v>
      </c>
    </row>
    <row r="10" spans="1:9">
      <c r="A10" s="72">
        <v>8</v>
      </c>
      <c r="B10" s="72">
        <v>755</v>
      </c>
      <c r="C10" s="72">
        <v>1690</v>
      </c>
      <c r="E10" s="31" t="s">
        <v>60</v>
      </c>
      <c r="F10" s="33">
        <f>F8*F5</f>
        <v>1253248.9623550102</v>
      </c>
      <c r="H10">
        <v>400</v>
      </c>
      <c r="I10">
        <v>927012.80186258338</v>
      </c>
    </row>
    <row r="11" spans="1:9">
      <c r="A11" s="72">
        <v>9</v>
      </c>
      <c r="B11" s="72">
        <v>889</v>
      </c>
      <c r="C11" s="72">
        <v>1380</v>
      </c>
      <c r="E11" s="31" t="s">
        <v>61</v>
      </c>
      <c r="F11" s="33">
        <f>F10-F9</f>
        <v>1141248.9623550102</v>
      </c>
      <c r="H11">
        <v>500</v>
      </c>
      <c r="I11">
        <v>1056570.0688120355</v>
      </c>
    </row>
    <row r="12" spans="1:9">
      <c r="A12" s="72">
        <v>10</v>
      </c>
      <c r="B12" s="72">
        <v>997</v>
      </c>
      <c r="C12" s="72">
        <v>1220</v>
      </c>
      <c r="H12">
        <v>600</v>
      </c>
      <c r="I12">
        <v>1141248.9623550102</v>
      </c>
    </row>
    <row r="13" spans="1:9" ht="14.25">
      <c r="A13" s="72">
        <v>11</v>
      </c>
      <c r="B13" s="72">
        <v>1106</v>
      </c>
      <c r="C13" s="72">
        <v>860</v>
      </c>
      <c r="E13" s="31" t="s">
        <v>164</v>
      </c>
      <c r="F13" s="33">
        <f>(F4-F6)/(2*F7)</f>
        <v>738.68530010214818</v>
      </c>
      <c r="H13">
        <v>700</v>
      </c>
      <c r="I13">
        <v>1181049.4824915077</v>
      </c>
    </row>
    <row r="14" spans="1:9">
      <c r="A14" s="72">
        <v>12</v>
      </c>
      <c r="B14" s="72">
        <v>1206</v>
      </c>
      <c r="C14" s="72">
        <v>670</v>
      </c>
      <c r="E14" s="31" t="s">
        <v>165</v>
      </c>
      <c r="F14" s="33">
        <f>(-1)*(F4-F6)^2/(4*F7)-F3</f>
        <v>1184407.6244617028</v>
      </c>
      <c r="H14">
        <v>800</v>
      </c>
      <c r="I14">
        <v>1175971.6292215274</v>
      </c>
    </row>
    <row r="15" spans="1:9">
      <c r="A15" s="72">
        <v>13</v>
      </c>
      <c r="B15" s="72">
        <v>1326</v>
      </c>
      <c r="C15" s="72">
        <v>550</v>
      </c>
      <c r="H15">
        <v>900</v>
      </c>
      <c r="I15">
        <v>1126015.4025450696</v>
      </c>
    </row>
    <row r="16" spans="1:9">
      <c r="A16" s="72">
        <v>14</v>
      </c>
      <c r="B16" s="72">
        <v>1411</v>
      </c>
      <c r="C16" s="72">
        <v>358</v>
      </c>
      <c r="H16">
        <v>1000</v>
      </c>
      <c r="I16">
        <v>1031180.802462134</v>
      </c>
    </row>
    <row r="17" spans="2:9">
      <c r="H17">
        <v>1100</v>
      </c>
      <c r="I17">
        <v>891467.82897272194</v>
      </c>
    </row>
    <row r="18" spans="2:9">
      <c r="H18">
        <v>1200</v>
      </c>
      <c r="I18">
        <v>706876.48207683174</v>
      </c>
    </row>
    <row r="19" spans="2:9">
      <c r="H19">
        <v>1300</v>
      </c>
      <c r="I19">
        <v>477406.76177446416</v>
      </c>
    </row>
    <row r="20" spans="2:9">
      <c r="B20" s="74">
        <f>MAX($F$11)</f>
        <v>1141248.9623550102</v>
      </c>
      <c r="H20">
        <v>1400</v>
      </c>
      <c r="I20">
        <v>203058.66806561907</v>
      </c>
    </row>
    <row r="21" spans="2:9">
      <c r="B21">
        <f>COUNT($F$5)</f>
        <v>1</v>
      </c>
    </row>
    <row r="22" spans="2:9">
      <c r="B22" t="b">
        <f>$F$5=INT($F$5)</f>
        <v>1</v>
      </c>
    </row>
    <row r="23" spans="2:9">
      <c r="B23">
        <f>{32767,32767,0.000001,0.01,FALSE,FALSE,TRUE,1,1,1,0.0001,TRUE}</f>
        <v>32767</v>
      </c>
    </row>
    <row r="24" spans="2:9">
      <c r="B24">
        <f>{0,0,1,100,0,FALSE,TRUE,0.075,0,0,FALSE,30}</f>
        <v>0</v>
      </c>
    </row>
  </sheetData>
  <phoneticPr fontId="3" type="noConversion"/>
  <pageMargins left="0.75" right="0.75" top="1" bottom="1" header="0.5" footer="0.5"/>
  <pageSetup paperSize="9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4" name="Scroll Bar 1">
              <controlPr defaultSize="0" autoPict="0">
                <anchor moveWithCells="1">
                  <from>
                    <xdr:col>10</xdr:col>
                    <xdr:colOff>428625</xdr:colOff>
                    <xdr:row>1</xdr:row>
                    <xdr:rowOff>180975</xdr:rowOff>
                  </from>
                  <to>
                    <xdr:col>11</xdr:col>
                    <xdr:colOff>409575</xdr:colOff>
                    <xdr:row>2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U373"/>
  <sheetViews>
    <sheetView workbookViewId="0">
      <pane ySplit="1" topLeftCell="A2" activePane="bottomLeft" state="frozen"/>
      <selection pane="bottomLeft" activeCell="L3" sqref="L3"/>
    </sheetView>
  </sheetViews>
  <sheetFormatPr defaultRowHeight="15"/>
  <cols>
    <col min="1" max="1" width="1.625" style="49" customWidth="1"/>
    <col min="2" max="2" width="21.5" style="49" customWidth="1"/>
    <col min="3" max="3" width="12.875" style="49" customWidth="1"/>
    <col min="4" max="7" width="8.5" style="49" customWidth="1"/>
    <col min="8" max="8" width="8.125" style="49" customWidth="1"/>
    <col min="9" max="11" width="10.625" style="49" customWidth="1"/>
    <col min="12" max="13" width="9" style="49" bestFit="1" customWidth="1"/>
    <col min="14" max="14" width="7.125" style="49" bestFit="1" customWidth="1"/>
    <col min="15" max="16" width="9" style="49" bestFit="1" customWidth="1"/>
    <col min="17" max="17" width="12" style="49" customWidth="1"/>
    <col min="18" max="18" width="11.375" style="49" customWidth="1"/>
    <col min="19" max="19" width="8.875" style="49" customWidth="1"/>
    <col min="20" max="47" width="9" style="49"/>
    <col min="48" max="16384" width="9" style="1"/>
  </cols>
  <sheetData>
    <row r="2" spans="2:26">
      <c r="D2" s="75"/>
      <c r="E2" s="75"/>
      <c r="F2" s="75"/>
      <c r="T2" s="45">
        <v>380</v>
      </c>
      <c r="U2" s="45">
        <v>390</v>
      </c>
      <c r="V2" s="45">
        <v>400</v>
      </c>
      <c r="W2" s="45">
        <v>410</v>
      </c>
      <c r="X2" s="45">
        <v>420</v>
      </c>
      <c r="Y2" s="45">
        <v>430</v>
      </c>
      <c r="Z2" s="45">
        <v>440</v>
      </c>
    </row>
    <row r="3" spans="2:26">
      <c r="B3" s="37" t="s">
        <v>62</v>
      </c>
      <c r="C3" s="38">
        <v>400</v>
      </c>
      <c r="D3" s="39"/>
      <c r="E3" s="40" t="s">
        <v>63</v>
      </c>
      <c r="F3" s="41" t="s">
        <v>64</v>
      </c>
      <c r="G3" s="45" t="s">
        <v>166</v>
      </c>
      <c r="T3" s="45">
        <f>AVERAGE(T8:T57)</f>
        <v>40518.253400000001</v>
      </c>
      <c r="U3" s="45">
        <f t="shared" ref="U3:Z3" si="0">AVERAGE(U8:U57)</f>
        <v>41064.67040000001</v>
      </c>
      <c r="V3" s="45">
        <f t="shared" si="0"/>
        <v>42559.486000000012</v>
      </c>
      <c r="W3" s="45">
        <f t="shared" si="0"/>
        <v>42924.296200000012</v>
      </c>
      <c r="X3" s="45">
        <f t="shared" si="0"/>
        <v>43864.79339999998</v>
      </c>
      <c r="Y3" s="45">
        <f t="shared" si="0"/>
        <v>43884.595799999988</v>
      </c>
      <c r="Z3" s="45">
        <f t="shared" si="0"/>
        <v>46319.913400000005</v>
      </c>
    </row>
    <row r="4" spans="2:26">
      <c r="B4" s="42" t="s">
        <v>167</v>
      </c>
      <c r="C4" s="43">
        <v>300</v>
      </c>
      <c r="D4" s="39"/>
      <c r="E4" s="41">
        <v>50</v>
      </c>
      <c r="F4" s="44">
        <v>0.05</v>
      </c>
      <c r="G4" s="45">
        <v>0</v>
      </c>
    </row>
    <row r="5" spans="2:26">
      <c r="B5" s="42" t="s">
        <v>168</v>
      </c>
      <c r="C5" s="76">
        <f ca="1">ROUND(0.06+(0.1-0.06)*RAND(),2)</f>
        <v>0.1</v>
      </c>
      <c r="D5" s="39"/>
      <c r="E5" s="41">
        <v>51</v>
      </c>
      <c r="F5" s="44">
        <v>0.1</v>
      </c>
      <c r="G5" s="77">
        <f>G4+F4</f>
        <v>0.05</v>
      </c>
    </row>
    <row r="6" spans="2:26">
      <c r="B6" s="42" t="s">
        <v>51</v>
      </c>
      <c r="C6" s="78">
        <f ca="1">ROUND(NORMINV(RAND(),200,SQRT(200)),0)</f>
        <v>198</v>
      </c>
      <c r="D6" s="39"/>
      <c r="E6" s="41">
        <v>52</v>
      </c>
      <c r="F6" s="44">
        <v>0.3</v>
      </c>
      <c r="G6" s="77">
        <f>G5+F5</f>
        <v>0.15000000000000002</v>
      </c>
    </row>
    <row r="7" spans="2:26">
      <c r="B7" s="45" t="s">
        <v>65</v>
      </c>
      <c r="C7" s="46">
        <f ca="1">SUM(Q9:Q373)</f>
        <v>43394.799999999996</v>
      </c>
      <c r="D7" s="47"/>
      <c r="E7" s="41">
        <v>53</v>
      </c>
      <c r="F7" s="48">
        <v>0.22</v>
      </c>
      <c r="G7" s="77">
        <f>G6+F6</f>
        <v>0.45</v>
      </c>
      <c r="I7" s="79" t="s">
        <v>169</v>
      </c>
      <c r="J7" s="80" t="s">
        <v>170</v>
      </c>
      <c r="K7" s="40" t="s">
        <v>171</v>
      </c>
      <c r="L7" s="80" t="s">
        <v>172</v>
      </c>
      <c r="M7" s="80" t="s">
        <v>173</v>
      </c>
      <c r="N7" s="80" t="s">
        <v>174</v>
      </c>
      <c r="O7" s="80" t="s">
        <v>175</v>
      </c>
      <c r="P7" s="80" t="s">
        <v>176</v>
      </c>
      <c r="Q7" s="80" t="s">
        <v>177</v>
      </c>
      <c r="S7" s="81">
        <f ca="1">C7</f>
        <v>43394.799999999996</v>
      </c>
      <c r="T7" s="49">
        <v>380</v>
      </c>
      <c r="U7" s="49">
        <v>390</v>
      </c>
      <c r="V7" s="49">
        <v>400</v>
      </c>
      <c r="W7" s="49">
        <v>410</v>
      </c>
      <c r="X7" s="49">
        <v>420</v>
      </c>
      <c r="Y7" s="49">
        <v>430</v>
      </c>
      <c r="Z7" s="49">
        <v>440</v>
      </c>
    </row>
    <row r="8" spans="2:26">
      <c r="D8" s="50"/>
      <c r="E8" s="41">
        <v>54</v>
      </c>
      <c r="F8" s="51">
        <v>0.18</v>
      </c>
      <c r="G8" s="77">
        <f t="shared" ref="G8:G10" si="1">G7+F7</f>
        <v>0.67</v>
      </c>
      <c r="I8" s="45">
        <v>0</v>
      </c>
      <c r="J8" s="45"/>
      <c r="K8" s="45"/>
      <c r="L8" s="45">
        <f>C4</f>
        <v>300</v>
      </c>
      <c r="M8" s="45"/>
      <c r="N8" s="45"/>
      <c r="O8" s="45"/>
      <c r="P8" s="45"/>
      <c r="Q8" s="45"/>
      <c r="S8" s="49">
        <v>1</v>
      </c>
      <c r="T8" s="49">
        <v>43839.659999999938</v>
      </c>
      <c r="U8" s="49">
        <v>41295.060000000005</v>
      </c>
      <c r="V8" s="49">
        <v>44654.520000000055</v>
      </c>
      <c r="W8" s="49">
        <v>40144.100000000028</v>
      </c>
      <c r="X8" s="49">
        <v>47424.839999999982</v>
      </c>
      <c r="Y8" s="49">
        <v>41665.800000000025</v>
      </c>
      <c r="Z8" s="49">
        <v>46701.280000000013</v>
      </c>
    </row>
    <row r="9" spans="2:26">
      <c r="E9" s="41">
        <v>55</v>
      </c>
      <c r="F9" s="51">
        <v>0.15</v>
      </c>
      <c r="G9" s="77">
        <f t="shared" si="1"/>
        <v>0.85000000000000009</v>
      </c>
      <c r="I9" s="45">
        <v>1</v>
      </c>
      <c r="J9" s="45">
        <f>L8</f>
        <v>300</v>
      </c>
      <c r="K9" s="45">
        <f ca="1">INDEX($E$4:$E$9,MATCH(RAND(),$G$4:$G$10,1))</f>
        <v>53</v>
      </c>
      <c r="L9" s="45">
        <f ca="1">J9-K9</f>
        <v>247</v>
      </c>
      <c r="M9" s="45">
        <f ca="1">IF(L9&lt;2*K10,IF(N8=2,0,1),0)</f>
        <v>0</v>
      </c>
      <c r="N9" s="45">
        <f ca="1">IF(M9=1,RANDBETWEEN(1,2),0)</f>
        <v>0</v>
      </c>
      <c r="O9" s="45">
        <f ca="1">IF(M9=1,$C$3,0)</f>
        <v>0</v>
      </c>
      <c r="P9" s="82">
        <f t="shared" ref="P9:P72" ca="1" si="2">L9*$C$5</f>
        <v>24.700000000000003</v>
      </c>
      <c r="Q9" s="82">
        <f ca="1">O9+P9</f>
        <v>24.700000000000003</v>
      </c>
      <c r="S9" s="49">
        <v>2</v>
      </c>
      <c r="T9" s="49">
        <v>38846</v>
      </c>
      <c r="U9" s="49">
        <v>42094.650000000031</v>
      </c>
      <c r="V9" s="49">
        <v>42485.36000000003</v>
      </c>
      <c r="W9" s="49">
        <v>46196.20999999997</v>
      </c>
      <c r="X9" s="49">
        <v>43559.839999999997</v>
      </c>
      <c r="Y9" s="49">
        <v>42652.24000000002</v>
      </c>
      <c r="Z9" s="49">
        <v>46817.570000000029</v>
      </c>
    </row>
    <row r="10" spans="2:26">
      <c r="F10" s="83"/>
      <c r="G10" s="83">
        <f t="shared" si="1"/>
        <v>1</v>
      </c>
      <c r="I10" s="45">
        <v>2</v>
      </c>
      <c r="J10" s="45">
        <f t="shared" ref="J10:J73" ca="1" si="3">L9+IF(N9=1,$C$6,0)+IF(N8=2,$C$6,0)</f>
        <v>247</v>
      </c>
      <c r="K10" s="45">
        <f t="shared" ref="K10:K73" ca="1" si="4">INDEX($E$4:$E$9,MATCH(RAND(),$G$4:$G$10,1))</f>
        <v>52</v>
      </c>
      <c r="L10" s="45">
        <f ca="1">J10-K10</f>
        <v>195</v>
      </c>
      <c r="M10" s="45">
        <f t="shared" ref="M10:M73" ca="1" si="5">IF(L10&lt;2*K11,IF(N9=2,0,1),0)</f>
        <v>0</v>
      </c>
      <c r="N10" s="45">
        <f ca="1">IF(M10=1,RANDBETWEEN(1,2),0)</f>
        <v>0</v>
      </c>
      <c r="O10" s="45">
        <f ca="1">IF(M10=1,$C$3,0)</f>
        <v>0</v>
      </c>
      <c r="P10" s="82">
        <f t="shared" ca="1" si="2"/>
        <v>19.5</v>
      </c>
      <c r="Q10" s="82">
        <f ca="1">O10+P10</f>
        <v>19.5</v>
      </c>
      <c r="S10" s="49">
        <v>3</v>
      </c>
      <c r="T10" s="49">
        <v>37049.400000000016</v>
      </c>
      <c r="U10" s="49">
        <v>47800.289999999986</v>
      </c>
      <c r="V10" s="49">
        <v>45581.149999999994</v>
      </c>
      <c r="W10" s="49">
        <v>42597.520000000048</v>
      </c>
      <c r="X10" s="49">
        <v>42616.199999999983</v>
      </c>
      <c r="Y10" s="49">
        <v>42843.679999999993</v>
      </c>
      <c r="Z10" s="49">
        <v>41975</v>
      </c>
    </row>
    <row r="11" spans="2:26">
      <c r="I11" s="45">
        <v>3</v>
      </c>
      <c r="J11" s="45">
        <f t="shared" ca="1" si="3"/>
        <v>195</v>
      </c>
      <c r="K11" s="45">
        <f t="shared" ca="1" si="4"/>
        <v>52</v>
      </c>
      <c r="L11" s="45">
        <f t="shared" ref="L11:L74" ca="1" si="6">J11-K11</f>
        <v>143</v>
      </c>
      <c r="M11" s="45">
        <f t="shared" ca="1" si="5"/>
        <v>0</v>
      </c>
      <c r="N11" s="45">
        <f t="shared" ref="N11:N74" ca="1" si="7">IF(M11=1,RANDBETWEEN(1,2),0)</f>
        <v>0</v>
      </c>
      <c r="O11" s="45">
        <f t="shared" ref="O11:O74" ca="1" si="8">IF(M11=1,$C$3,0)</f>
        <v>0</v>
      </c>
      <c r="P11" s="82">
        <f t="shared" ca="1" si="2"/>
        <v>14.3</v>
      </c>
      <c r="Q11" s="82">
        <f t="shared" ref="Q11:Q74" ca="1" si="9">O11+P11</f>
        <v>14.3</v>
      </c>
      <c r="S11" s="49">
        <v>4</v>
      </c>
      <c r="T11" s="49">
        <v>42309.179999999957</v>
      </c>
      <c r="U11" s="49">
        <v>40243.499999999978</v>
      </c>
      <c r="V11" s="49">
        <v>38981.089999999997</v>
      </c>
      <c r="W11" s="49">
        <v>43065.400000000023</v>
      </c>
      <c r="X11" s="49">
        <v>46100.600000000035</v>
      </c>
      <c r="Y11" s="49">
        <v>42852.169999999969</v>
      </c>
      <c r="Z11" s="49">
        <v>44720.84</v>
      </c>
    </row>
    <row r="12" spans="2:26">
      <c r="I12" s="45">
        <v>4</v>
      </c>
      <c r="J12" s="45">
        <f t="shared" ca="1" si="3"/>
        <v>143</v>
      </c>
      <c r="K12" s="45">
        <f t="shared" ca="1" si="4"/>
        <v>54</v>
      </c>
      <c r="L12" s="45">
        <f t="shared" ca="1" si="6"/>
        <v>89</v>
      </c>
      <c r="M12" s="45">
        <f t="shared" ca="1" si="5"/>
        <v>1</v>
      </c>
      <c r="N12" s="45">
        <f t="shared" ca="1" si="7"/>
        <v>2</v>
      </c>
      <c r="O12" s="45">
        <f t="shared" ca="1" si="8"/>
        <v>400</v>
      </c>
      <c r="P12" s="82">
        <f t="shared" ca="1" si="2"/>
        <v>8.9</v>
      </c>
      <c r="Q12" s="82">
        <f t="shared" ca="1" si="9"/>
        <v>408.9</v>
      </c>
      <c r="S12" s="49">
        <v>5</v>
      </c>
      <c r="T12" s="49">
        <v>40334.700000000012</v>
      </c>
      <c r="U12" s="49">
        <v>41437.799999999981</v>
      </c>
      <c r="V12" s="49">
        <v>43251.62000000001</v>
      </c>
      <c r="W12" s="49">
        <v>39500.749999999985</v>
      </c>
      <c r="X12" s="49">
        <v>43559.319999999992</v>
      </c>
      <c r="Y12" s="49">
        <v>40553.68</v>
      </c>
      <c r="Z12" s="49">
        <v>42095.26</v>
      </c>
    </row>
    <row r="13" spans="2:26">
      <c r="I13" s="45">
        <v>5</v>
      </c>
      <c r="J13" s="45">
        <f t="shared" ca="1" si="3"/>
        <v>89</v>
      </c>
      <c r="K13" s="45">
        <f t="shared" ca="1" si="4"/>
        <v>52</v>
      </c>
      <c r="L13" s="45">
        <f t="shared" ca="1" si="6"/>
        <v>37</v>
      </c>
      <c r="M13" s="45">
        <f t="shared" ca="1" si="5"/>
        <v>0</v>
      </c>
      <c r="N13" s="45">
        <f t="shared" ca="1" si="7"/>
        <v>0</v>
      </c>
      <c r="O13" s="45">
        <f t="shared" ca="1" si="8"/>
        <v>0</v>
      </c>
      <c r="P13" s="82">
        <f t="shared" ca="1" si="2"/>
        <v>3.7</v>
      </c>
      <c r="Q13" s="82">
        <f t="shared" ca="1" si="9"/>
        <v>3.7</v>
      </c>
      <c r="S13" s="49">
        <v>6</v>
      </c>
      <c r="T13" s="49">
        <v>40140.87999999999</v>
      </c>
      <c r="U13" s="49">
        <v>40598.400000000009</v>
      </c>
      <c r="V13" s="49">
        <v>44230.280000000028</v>
      </c>
      <c r="W13" s="49">
        <v>44299.929999999978</v>
      </c>
      <c r="X13" s="49">
        <v>45821.68</v>
      </c>
      <c r="Y13" s="49">
        <v>47997.19000000001</v>
      </c>
      <c r="Z13" s="49">
        <v>49618.930000000022</v>
      </c>
    </row>
    <row r="14" spans="2:26">
      <c r="I14" s="45">
        <v>6</v>
      </c>
      <c r="J14" s="45">
        <f t="shared" ca="1" si="3"/>
        <v>235</v>
      </c>
      <c r="K14" s="45">
        <f t="shared" ca="1" si="4"/>
        <v>54</v>
      </c>
      <c r="L14" s="45">
        <f t="shared" ca="1" si="6"/>
        <v>181</v>
      </c>
      <c r="M14" s="45">
        <f t="shared" ca="1" si="5"/>
        <v>0</v>
      </c>
      <c r="N14" s="45">
        <f t="shared" ca="1" si="7"/>
        <v>0</v>
      </c>
      <c r="O14" s="45">
        <f t="shared" ca="1" si="8"/>
        <v>0</v>
      </c>
      <c r="P14" s="82">
        <f t="shared" ca="1" si="2"/>
        <v>18.100000000000001</v>
      </c>
      <c r="Q14" s="82">
        <f t="shared" ca="1" si="9"/>
        <v>18.100000000000001</v>
      </c>
      <c r="S14" s="49">
        <v>7</v>
      </c>
      <c r="T14" s="49">
        <v>40292.700000000004</v>
      </c>
      <c r="U14" s="49">
        <v>38512.71</v>
      </c>
      <c r="V14" s="49">
        <v>40665.460000000014</v>
      </c>
      <c r="W14" s="49">
        <v>36891.089999999975</v>
      </c>
      <c r="X14" s="49">
        <v>39994.500000000007</v>
      </c>
      <c r="Y14" s="49">
        <v>44197.680000000044</v>
      </c>
      <c r="Z14" s="49">
        <v>47580.130000000019</v>
      </c>
    </row>
    <row r="15" spans="2:26">
      <c r="I15" s="45">
        <v>7</v>
      </c>
      <c r="J15" s="45">
        <f t="shared" ca="1" si="3"/>
        <v>181</v>
      </c>
      <c r="K15" s="45">
        <f t="shared" ca="1" si="4"/>
        <v>52</v>
      </c>
      <c r="L15" s="45">
        <f t="shared" ca="1" si="6"/>
        <v>129</v>
      </c>
      <c r="M15" s="45">
        <f t="shared" ca="1" si="5"/>
        <v>0</v>
      </c>
      <c r="N15" s="45">
        <f t="shared" ca="1" si="7"/>
        <v>0</v>
      </c>
      <c r="O15" s="45">
        <f t="shared" ca="1" si="8"/>
        <v>0</v>
      </c>
      <c r="P15" s="82">
        <f t="shared" ca="1" si="2"/>
        <v>12.9</v>
      </c>
      <c r="Q15" s="82">
        <f t="shared" ca="1" si="9"/>
        <v>12.9</v>
      </c>
      <c r="S15" s="49">
        <v>8</v>
      </c>
      <c r="T15" s="49">
        <v>38375.160000000011</v>
      </c>
      <c r="U15" s="49">
        <v>37843.099999999962</v>
      </c>
      <c r="V15" s="49">
        <v>39590.900000000009</v>
      </c>
      <c r="W15" s="49">
        <v>42005.200000000004</v>
      </c>
      <c r="X15" s="49">
        <v>44062.960000000014</v>
      </c>
      <c r="Y15" s="49">
        <v>42538.560000000005</v>
      </c>
      <c r="Z15" s="49">
        <v>45397.699999999983</v>
      </c>
    </row>
    <row r="16" spans="2:26">
      <c r="I16" s="45">
        <v>8</v>
      </c>
      <c r="J16" s="45">
        <f t="shared" ca="1" si="3"/>
        <v>129</v>
      </c>
      <c r="K16" s="45">
        <f t="shared" ca="1" si="4"/>
        <v>54</v>
      </c>
      <c r="L16" s="45">
        <f t="shared" ca="1" si="6"/>
        <v>75</v>
      </c>
      <c r="M16" s="45">
        <f t="shared" ca="1" si="5"/>
        <v>1</v>
      </c>
      <c r="N16" s="45">
        <f t="shared" ca="1" si="7"/>
        <v>1</v>
      </c>
      <c r="O16" s="45">
        <f t="shared" ca="1" si="8"/>
        <v>400</v>
      </c>
      <c r="P16" s="82">
        <f t="shared" ca="1" si="2"/>
        <v>7.5</v>
      </c>
      <c r="Q16" s="82">
        <f t="shared" ca="1" si="9"/>
        <v>407.5</v>
      </c>
      <c r="S16" s="49">
        <v>9</v>
      </c>
      <c r="T16" s="49">
        <v>44247.200000000055</v>
      </c>
      <c r="U16" s="49">
        <v>41321.279999999999</v>
      </c>
      <c r="V16" s="49">
        <v>46558.400000000031</v>
      </c>
      <c r="W16" s="49">
        <v>44173.39</v>
      </c>
      <c r="X16" s="49">
        <v>41585.669999999962</v>
      </c>
      <c r="Y16" s="49">
        <v>43553.89999999998</v>
      </c>
      <c r="Z16" s="49">
        <v>46751.51</v>
      </c>
    </row>
    <row r="17" spans="9:26">
      <c r="I17" s="45">
        <v>9</v>
      </c>
      <c r="J17" s="45">
        <f t="shared" ca="1" si="3"/>
        <v>273</v>
      </c>
      <c r="K17" s="45">
        <f t="shared" ca="1" si="4"/>
        <v>52</v>
      </c>
      <c r="L17" s="45">
        <f t="shared" ca="1" si="6"/>
        <v>221</v>
      </c>
      <c r="M17" s="45">
        <f t="shared" ca="1" si="5"/>
        <v>0</v>
      </c>
      <c r="N17" s="45">
        <f t="shared" ca="1" si="7"/>
        <v>0</v>
      </c>
      <c r="O17" s="45">
        <f t="shared" ca="1" si="8"/>
        <v>0</v>
      </c>
      <c r="P17" s="82">
        <f t="shared" ca="1" si="2"/>
        <v>22.1</v>
      </c>
      <c r="Q17" s="82">
        <f t="shared" ca="1" si="9"/>
        <v>22.1</v>
      </c>
      <c r="S17" s="49">
        <v>10</v>
      </c>
      <c r="T17" s="49">
        <v>38184.39999999998</v>
      </c>
      <c r="U17" s="49">
        <v>40029.679999999993</v>
      </c>
      <c r="V17" s="49">
        <v>43609.999999999993</v>
      </c>
      <c r="W17" s="49">
        <v>46040.779999999962</v>
      </c>
      <c r="X17" s="49">
        <v>45539.599999999955</v>
      </c>
      <c r="Y17" s="49">
        <v>44584.800000000076</v>
      </c>
      <c r="Z17" s="49">
        <v>43334.07999999998</v>
      </c>
    </row>
    <row r="18" spans="9:26">
      <c r="I18" s="45">
        <v>10</v>
      </c>
      <c r="J18" s="45">
        <f t="shared" ca="1" si="3"/>
        <v>221</v>
      </c>
      <c r="K18" s="45">
        <f t="shared" ca="1" si="4"/>
        <v>53</v>
      </c>
      <c r="L18" s="45">
        <f t="shared" ca="1" si="6"/>
        <v>168</v>
      </c>
      <c r="M18" s="45">
        <f t="shared" ca="1" si="5"/>
        <v>0</v>
      </c>
      <c r="N18" s="45">
        <f t="shared" ca="1" si="7"/>
        <v>0</v>
      </c>
      <c r="O18" s="45">
        <f t="shared" ca="1" si="8"/>
        <v>0</v>
      </c>
      <c r="P18" s="82">
        <f t="shared" ca="1" si="2"/>
        <v>16.8</v>
      </c>
      <c r="Q18" s="82">
        <f t="shared" ca="1" si="9"/>
        <v>16.8</v>
      </c>
      <c r="S18" s="49">
        <v>11</v>
      </c>
      <c r="T18" s="49">
        <v>44990.079999999973</v>
      </c>
      <c r="U18" s="49">
        <v>43561.039999999979</v>
      </c>
      <c r="V18" s="49">
        <v>42007.699999999975</v>
      </c>
      <c r="W18" s="49">
        <v>42597.990000000013</v>
      </c>
      <c r="X18" s="49">
        <v>42306.460000000006</v>
      </c>
      <c r="Y18" s="49">
        <v>45737.799999999959</v>
      </c>
      <c r="Z18" s="49">
        <v>42724.95999999997</v>
      </c>
    </row>
    <row r="19" spans="9:26">
      <c r="I19" s="45">
        <v>11</v>
      </c>
      <c r="J19" s="45">
        <f t="shared" ca="1" si="3"/>
        <v>168</v>
      </c>
      <c r="K19" s="45">
        <f t="shared" ca="1" si="4"/>
        <v>54</v>
      </c>
      <c r="L19" s="45">
        <f t="shared" ca="1" si="6"/>
        <v>114</v>
      </c>
      <c r="M19" s="45">
        <f t="shared" ca="1" si="5"/>
        <v>0</v>
      </c>
      <c r="N19" s="45">
        <f t="shared" ca="1" si="7"/>
        <v>0</v>
      </c>
      <c r="O19" s="45">
        <f t="shared" ca="1" si="8"/>
        <v>0</v>
      </c>
      <c r="P19" s="82">
        <f t="shared" ca="1" si="2"/>
        <v>11.4</v>
      </c>
      <c r="Q19" s="82">
        <f t="shared" ca="1" si="9"/>
        <v>11.4</v>
      </c>
      <c r="S19" s="49">
        <v>12</v>
      </c>
      <c r="T19" s="49">
        <v>40617.029999999992</v>
      </c>
      <c r="U19" s="49">
        <v>38317.500000000015</v>
      </c>
      <c r="V19" s="49">
        <v>46137.700000000004</v>
      </c>
      <c r="W19" s="49">
        <v>42942.849999999984</v>
      </c>
      <c r="X19" s="49">
        <v>41338.640000000014</v>
      </c>
      <c r="Y19" s="49">
        <v>44165.009999999995</v>
      </c>
      <c r="Z19" s="49">
        <v>45653.359999999986</v>
      </c>
    </row>
    <row r="20" spans="9:26">
      <c r="I20" s="45">
        <v>12</v>
      </c>
      <c r="J20" s="45">
        <f t="shared" ca="1" si="3"/>
        <v>114</v>
      </c>
      <c r="K20" s="45">
        <f t="shared" ca="1" si="4"/>
        <v>52</v>
      </c>
      <c r="L20" s="45">
        <f t="shared" ca="1" si="6"/>
        <v>62</v>
      </c>
      <c r="M20" s="45">
        <f t="shared" ca="1" si="5"/>
        <v>1</v>
      </c>
      <c r="N20" s="45">
        <f t="shared" ca="1" si="7"/>
        <v>2</v>
      </c>
      <c r="O20" s="45">
        <f t="shared" ca="1" si="8"/>
        <v>400</v>
      </c>
      <c r="P20" s="82">
        <f t="shared" ca="1" si="2"/>
        <v>6.2</v>
      </c>
      <c r="Q20" s="82">
        <f t="shared" ca="1" si="9"/>
        <v>406.2</v>
      </c>
      <c r="S20" s="49">
        <v>13</v>
      </c>
      <c r="T20" s="49">
        <v>40921.239999999976</v>
      </c>
      <c r="U20" s="49">
        <v>41775.399999999972</v>
      </c>
      <c r="V20" s="49">
        <v>41363.380000000012</v>
      </c>
      <c r="W20" s="49">
        <v>40699.749999999942</v>
      </c>
      <c r="X20" s="49">
        <v>39920.650000000023</v>
      </c>
      <c r="Y20" s="49">
        <v>43812.76999999999</v>
      </c>
      <c r="Z20" s="49">
        <v>43592.080000000038</v>
      </c>
    </row>
    <row r="21" spans="9:26">
      <c r="I21" s="45">
        <v>13</v>
      </c>
      <c r="J21" s="45">
        <f t="shared" ca="1" si="3"/>
        <v>62</v>
      </c>
      <c r="K21" s="45">
        <f t="shared" ca="1" si="4"/>
        <v>52</v>
      </c>
      <c r="L21" s="45">
        <f t="shared" ca="1" si="6"/>
        <v>10</v>
      </c>
      <c r="M21" s="45">
        <f t="shared" ca="1" si="5"/>
        <v>0</v>
      </c>
      <c r="N21" s="45">
        <f t="shared" ca="1" si="7"/>
        <v>0</v>
      </c>
      <c r="O21" s="45">
        <f t="shared" ca="1" si="8"/>
        <v>0</v>
      </c>
      <c r="P21" s="82">
        <f t="shared" ca="1" si="2"/>
        <v>1</v>
      </c>
      <c r="Q21" s="82">
        <f t="shared" ca="1" si="9"/>
        <v>1</v>
      </c>
      <c r="S21" s="49">
        <v>14</v>
      </c>
      <c r="T21" s="49">
        <v>39714.92000000002</v>
      </c>
      <c r="U21" s="49">
        <v>38242.260000000017</v>
      </c>
      <c r="V21" s="49">
        <v>43000.619999999966</v>
      </c>
      <c r="W21" s="49">
        <v>45335.919999999984</v>
      </c>
      <c r="X21" s="49">
        <v>42836.4</v>
      </c>
      <c r="Y21" s="49">
        <v>44612.28</v>
      </c>
      <c r="Z21" s="49">
        <v>45821.119999999981</v>
      </c>
    </row>
    <row r="22" spans="9:26">
      <c r="I22" s="45">
        <v>14</v>
      </c>
      <c r="J22" s="45">
        <f t="shared" ca="1" si="3"/>
        <v>208</v>
      </c>
      <c r="K22" s="45">
        <f t="shared" ca="1" si="4"/>
        <v>52</v>
      </c>
      <c r="L22" s="45">
        <f t="shared" ca="1" si="6"/>
        <v>156</v>
      </c>
      <c r="M22" s="45">
        <f t="shared" ca="1" si="5"/>
        <v>0</v>
      </c>
      <c r="N22" s="45">
        <f t="shared" ca="1" si="7"/>
        <v>0</v>
      </c>
      <c r="O22" s="45">
        <f t="shared" ca="1" si="8"/>
        <v>0</v>
      </c>
      <c r="P22" s="82">
        <f t="shared" ca="1" si="2"/>
        <v>15.600000000000001</v>
      </c>
      <c r="Q22" s="82">
        <f t="shared" ca="1" si="9"/>
        <v>15.600000000000001</v>
      </c>
      <c r="S22" s="49">
        <v>15</v>
      </c>
      <c r="T22" s="49">
        <v>43998.129999999983</v>
      </c>
      <c r="U22" s="49">
        <v>44895.15</v>
      </c>
      <c r="V22" s="49">
        <v>38583.869999999981</v>
      </c>
      <c r="W22" s="49">
        <v>42124.710000000014</v>
      </c>
      <c r="X22" s="49">
        <v>44794.500000000051</v>
      </c>
      <c r="Y22" s="49">
        <v>44131.180000000029</v>
      </c>
      <c r="Z22" s="49">
        <v>47612.800000000032</v>
      </c>
    </row>
    <row r="23" spans="9:26">
      <c r="I23" s="45">
        <v>15</v>
      </c>
      <c r="J23" s="45">
        <f t="shared" ca="1" si="3"/>
        <v>156</v>
      </c>
      <c r="K23" s="45">
        <f t="shared" ca="1" si="4"/>
        <v>53</v>
      </c>
      <c r="L23" s="45">
        <f t="shared" ca="1" si="6"/>
        <v>103</v>
      </c>
      <c r="M23" s="45">
        <f t="shared" ca="1" si="5"/>
        <v>1</v>
      </c>
      <c r="N23" s="45">
        <f t="shared" ca="1" si="7"/>
        <v>1</v>
      </c>
      <c r="O23" s="45">
        <f t="shared" ca="1" si="8"/>
        <v>400</v>
      </c>
      <c r="P23" s="82">
        <f t="shared" ca="1" si="2"/>
        <v>10.3</v>
      </c>
      <c r="Q23" s="82">
        <f t="shared" ca="1" si="9"/>
        <v>410.3</v>
      </c>
      <c r="S23" s="49">
        <v>16</v>
      </c>
      <c r="T23" s="49">
        <v>38848.960000000006</v>
      </c>
      <c r="U23" s="49">
        <v>46120.260000000017</v>
      </c>
      <c r="V23" s="49">
        <v>43035.499999999978</v>
      </c>
      <c r="W23" s="49">
        <v>41705.240000000027</v>
      </c>
      <c r="X23" s="49">
        <v>41839.5</v>
      </c>
      <c r="Y23" s="49">
        <v>43592.479999999981</v>
      </c>
      <c r="Z23" s="49">
        <v>48371.279999999992</v>
      </c>
    </row>
    <row r="24" spans="9:26">
      <c r="I24" s="45">
        <v>16</v>
      </c>
      <c r="J24" s="45">
        <f t="shared" ca="1" si="3"/>
        <v>301</v>
      </c>
      <c r="K24" s="45">
        <f t="shared" ca="1" si="4"/>
        <v>54</v>
      </c>
      <c r="L24" s="45">
        <f t="shared" ca="1" si="6"/>
        <v>247</v>
      </c>
      <c r="M24" s="45">
        <f t="shared" ca="1" si="5"/>
        <v>0</v>
      </c>
      <c r="N24" s="45">
        <f t="shared" ca="1" si="7"/>
        <v>0</v>
      </c>
      <c r="O24" s="45">
        <f t="shared" ca="1" si="8"/>
        <v>0</v>
      </c>
      <c r="P24" s="82">
        <f t="shared" ca="1" si="2"/>
        <v>24.700000000000003</v>
      </c>
      <c r="Q24" s="82">
        <f t="shared" ca="1" si="9"/>
        <v>24.700000000000003</v>
      </c>
      <c r="S24" s="49">
        <v>17</v>
      </c>
      <c r="T24" s="49">
        <v>39331.680000000022</v>
      </c>
      <c r="U24" s="49">
        <v>42376.599999999991</v>
      </c>
      <c r="V24" s="49">
        <v>43859.92000000002</v>
      </c>
      <c r="W24" s="49">
        <v>45323.92000000002</v>
      </c>
      <c r="X24" s="49">
        <v>43074.540000000015</v>
      </c>
      <c r="Y24" s="49">
        <v>44490.959999999963</v>
      </c>
      <c r="Z24" s="49">
        <v>47136.279999999992</v>
      </c>
    </row>
    <row r="25" spans="9:26">
      <c r="I25" s="45">
        <v>17</v>
      </c>
      <c r="J25" s="45">
        <f t="shared" ca="1" si="3"/>
        <v>247</v>
      </c>
      <c r="K25" s="45">
        <f t="shared" ca="1" si="4"/>
        <v>55</v>
      </c>
      <c r="L25" s="45">
        <f t="shared" ca="1" si="6"/>
        <v>192</v>
      </c>
      <c r="M25" s="45">
        <f t="shared" ca="1" si="5"/>
        <v>0</v>
      </c>
      <c r="N25" s="45">
        <f t="shared" ca="1" si="7"/>
        <v>0</v>
      </c>
      <c r="O25" s="45">
        <f t="shared" ca="1" si="8"/>
        <v>0</v>
      </c>
      <c r="P25" s="82">
        <f t="shared" ca="1" si="2"/>
        <v>19.200000000000003</v>
      </c>
      <c r="Q25" s="82">
        <f t="shared" ca="1" si="9"/>
        <v>19.200000000000003</v>
      </c>
      <c r="S25" s="49">
        <v>18</v>
      </c>
      <c r="T25" s="49">
        <v>40777.679999999993</v>
      </c>
      <c r="U25" s="49">
        <v>42253.170000000013</v>
      </c>
      <c r="V25" s="49">
        <v>42331.139999999956</v>
      </c>
      <c r="W25" s="49">
        <v>39673.839999999975</v>
      </c>
      <c r="X25" s="49">
        <v>43611.680000000008</v>
      </c>
      <c r="Y25" s="49">
        <v>42223.720000000023</v>
      </c>
      <c r="Z25" s="49">
        <v>48823.359999999986</v>
      </c>
    </row>
    <row r="26" spans="9:26">
      <c r="I26" s="45">
        <v>18</v>
      </c>
      <c r="J26" s="45">
        <f t="shared" ca="1" si="3"/>
        <v>192</v>
      </c>
      <c r="K26" s="45">
        <f t="shared" ca="1" si="4"/>
        <v>54</v>
      </c>
      <c r="L26" s="45">
        <f t="shared" ca="1" si="6"/>
        <v>138</v>
      </c>
      <c r="M26" s="45">
        <f t="shared" ca="1" si="5"/>
        <v>0</v>
      </c>
      <c r="N26" s="45">
        <f t="shared" ca="1" si="7"/>
        <v>0</v>
      </c>
      <c r="O26" s="45">
        <f t="shared" ca="1" si="8"/>
        <v>0</v>
      </c>
      <c r="P26" s="82">
        <f t="shared" ca="1" si="2"/>
        <v>13.8</v>
      </c>
      <c r="Q26" s="82">
        <f t="shared" ca="1" si="9"/>
        <v>13.8</v>
      </c>
      <c r="S26" s="49">
        <v>19</v>
      </c>
      <c r="T26" s="49">
        <v>42429.300000000025</v>
      </c>
      <c r="U26" s="49">
        <v>39621.989999999983</v>
      </c>
      <c r="V26" s="49">
        <v>38842.479999999981</v>
      </c>
      <c r="W26" s="49">
        <v>44058.790000000015</v>
      </c>
      <c r="X26" s="49">
        <v>44136.569999999992</v>
      </c>
      <c r="Y26" s="49">
        <v>43530.700000000012</v>
      </c>
      <c r="Z26" s="49">
        <v>47213.280000000006</v>
      </c>
    </row>
    <row r="27" spans="9:26">
      <c r="I27" s="45">
        <v>19</v>
      </c>
      <c r="J27" s="45">
        <f t="shared" ca="1" si="3"/>
        <v>138</v>
      </c>
      <c r="K27" s="45">
        <f t="shared" ca="1" si="4"/>
        <v>54</v>
      </c>
      <c r="L27" s="45">
        <f t="shared" ca="1" si="6"/>
        <v>84</v>
      </c>
      <c r="M27" s="45">
        <f t="shared" ca="1" si="5"/>
        <v>1</v>
      </c>
      <c r="N27" s="45">
        <f t="shared" ca="1" si="7"/>
        <v>1</v>
      </c>
      <c r="O27" s="45">
        <f t="shared" ca="1" si="8"/>
        <v>400</v>
      </c>
      <c r="P27" s="82">
        <f t="shared" ca="1" si="2"/>
        <v>8.4</v>
      </c>
      <c r="Q27" s="82">
        <f t="shared" ca="1" si="9"/>
        <v>408.4</v>
      </c>
      <c r="S27" s="49">
        <v>20</v>
      </c>
      <c r="T27" s="49">
        <v>42392.819999999992</v>
      </c>
      <c r="U27" s="49">
        <v>38935.359999999993</v>
      </c>
      <c r="V27" s="49">
        <v>42293.760000000046</v>
      </c>
      <c r="W27" s="49">
        <v>43627.80000000001</v>
      </c>
      <c r="X27" s="49">
        <v>42766.849999999991</v>
      </c>
      <c r="Y27" s="49">
        <v>41961.03</v>
      </c>
      <c r="Z27" s="49">
        <v>43337.260000000009</v>
      </c>
    </row>
    <row r="28" spans="9:26">
      <c r="I28" s="45">
        <v>20</v>
      </c>
      <c r="J28" s="45">
        <f t="shared" ca="1" si="3"/>
        <v>282</v>
      </c>
      <c r="K28" s="45">
        <f t="shared" ca="1" si="4"/>
        <v>55</v>
      </c>
      <c r="L28" s="45">
        <f t="shared" ca="1" si="6"/>
        <v>227</v>
      </c>
      <c r="M28" s="45">
        <f t="shared" ca="1" si="5"/>
        <v>0</v>
      </c>
      <c r="N28" s="45">
        <f t="shared" ca="1" si="7"/>
        <v>0</v>
      </c>
      <c r="O28" s="45">
        <f t="shared" ca="1" si="8"/>
        <v>0</v>
      </c>
      <c r="P28" s="82">
        <f t="shared" ca="1" si="2"/>
        <v>22.700000000000003</v>
      </c>
      <c r="Q28" s="82">
        <f t="shared" ca="1" si="9"/>
        <v>22.700000000000003</v>
      </c>
      <c r="S28" s="49">
        <v>21</v>
      </c>
      <c r="T28" s="49">
        <v>41877.920000000006</v>
      </c>
      <c r="U28" s="49">
        <v>38875.689999999959</v>
      </c>
      <c r="V28" s="49">
        <v>42533.759999999987</v>
      </c>
      <c r="W28" s="49">
        <v>42621.019999999982</v>
      </c>
      <c r="X28" s="49">
        <v>41428.320000000014</v>
      </c>
      <c r="Y28" s="49">
        <v>48560.900000000038</v>
      </c>
      <c r="Z28" s="49">
        <v>48035.040000000001</v>
      </c>
    </row>
    <row r="29" spans="9:26">
      <c r="I29" s="45">
        <v>21</v>
      </c>
      <c r="J29" s="45">
        <f t="shared" ca="1" si="3"/>
        <v>227</v>
      </c>
      <c r="K29" s="45">
        <f t="shared" ca="1" si="4"/>
        <v>53</v>
      </c>
      <c r="L29" s="45">
        <f t="shared" ca="1" si="6"/>
        <v>174</v>
      </c>
      <c r="M29" s="45">
        <f t="shared" ca="1" si="5"/>
        <v>0</v>
      </c>
      <c r="N29" s="45">
        <f t="shared" ca="1" si="7"/>
        <v>0</v>
      </c>
      <c r="O29" s="45">
        <f t="shared" ca="1" si="8"/>
        <v>0</v>
      </c>
      <c r="P29" s="82">
        <f t="shared" ca="1" si="2"/>
        <v>17.400000000000002</v>
      </c>
      <c r="Q29" s="82">
        <f t="shared" ca="1" si="9"/>
        <v>17.400000000000002</v>
      </c>
      <c r="S29" s="49">
        <v>22</v>
      </c>
      <c r="T29" s="49">
        <v>38877.100000000006</v>
      </c>
      <c r="U29" s="49">
        <v>43394.729999999974</v>
      </c>
      <c r="V29" s="49">
        <v>43422.559999999998</v>
      </c>
      <c r="W29" s="49">
        <v>44133.13</v>
      </c>
      <c r="X29" s="49">
        <v>44858.96</v>
      </c>
      <c r="Y29" s="49">
        <v>45227.349999999969</v>
      </c>
      <c r="Z29" s="49">
        <v>46307.30999999999</v>
      </c>
    </row>
    <row r="30" spans="9:26">
      <c r="I30" s="45">
        <v>22</v>
      </c>
      <c r="J30" s="45">
        <f t="shared" ca="1" si="3"/>
        <v>174</v>
      </c>
      <c r="K30" s="45">
        <f t="shared" ca="1" si="4"/>
        <v>53</v>
      </c>
      <c r="L30" s="45">
        <f t="shared" ca="1" si="6"/>
        <v>121</v>
      </c>
      <c r="M30" s="45">
        <f t="shared" ca="1" si="5"/>
        <v>0</v>
      </c>
      <c r="N30" s="45">
        <f t="shared" ca="1" si="7"/>
        <v>0</v>
      </c>
      <c r="O30" s="45">
        <f t="shared" ca="1" si="8"/>
        <v>0</v>
      </c>
      <c r="P30" s="82">
        <f t="shared" ca="1" si="2"/>
        <v>12.100000000000001</v>
      </c>
      <c r="Q30" s="82">
        <f t="shared" ca="1" si="9"/>
        <v>12.100000000000001</v>
      </c>
      <c r="S30" s="49">
        <v>23</v>
      </c>
      <c r="T30" s="49">
        <v>37701.499999999978</v>
      </c>
      <c r="U30" s="49">
        <v>40408.879999999983</v>
      </c>
      <c r="V30" s="49">
        <v>40458.289999999979</v>
      </c>
      <c r="W30" s="49">
        <v>41301.349999999991</v>
      </c>
      <c r="X30" s="49">
        <v>45896.550000000025</v>
      </c>
      <c r="Y30" s="49">
        <v>44923.069999999992</v>
      </c>
      <c r="Z30" s="49">
        <v>47691.540000000015</v>
      </c>
    </row>
    <row r="31" spans="9:26">
      <c r="I31" s="45">
        <v>23</v>
      </c>
      <c r="J31" s="45">
        <f t="shared" ca="1" si="3"/>
        <v>121</v>
      </c>
      <c r="K31" s="45">
        <f t="shared" ca="1" si="4"/>
        <v>54</v>
      </c>
      <c r="L31" s="45">
        <f t="shared" ca="1" si="6"/>
        <v>67</v>
      </c>
      <c r="M31" s="45">
        <f t="shared" ca="1" si="5"/>
        <v>1</v>
      </c>
      <c r="N31" s="45">
        <f t="shared" ca="1" si="7"/>
        <v>2</v>
      </c>
      <c r="O31" s="45">
        <f t="shared" ca="1" si="8"/>
        <v>400</v>
      </c>
      <c r="P31" s="82">
        <f t="shared" ca="1" si="2"/>
        <v>6.7</v>
      </c>
      <c r="Q31" s="82">
        <f t="shared" ca="1" si="9"/>
        <v>406.7</v>
      </c>
      <c r="S31" s="49">
        <v>24</v>
      </c>
      <c r="T31" s="49">
        <v>40244.470000000016</v>
      </c>
      <c r="U31" s="49">
        <v>47971.12</v>
      </c>
      <c r="V31" s="49">
        <v>39120.080000000009</v>
      </c>
      <c r="W31" s="49">
        <v>44176.81</v>
      </c>
      <c r="X31" s="49">
        <v>41483.39999999998</v>
      </c>
      <c r="Y31" s="49">
        <v>44473.399999999987</v>
      </c>
      <c r="Z31" s="49">
        <v>43280.98000000001</v>
      </c>
    </row>
    <row r="32" spans="9:26">
      <c r="I32" s="45">
        <v>24</v>
      </c>
      <c r="J32" s="45">
        <f t="shared" ca="1" si="3"/>
        <v>67</v>
      </c>
      <c r="K32" s="45">
        <f t="shared" ca="1" si="4"/>
        <v>52</v>
      </c>
      <c r="L32" s="45">
        <f t="shared" ca="1" si="6"/>
        <v>15</v>
      </c>
      <c r="M32" s="45">
        <f t="shared" ca="1" si="5"/>
        <v>0</v>
      </c>
      <c r="N32" s="45">
        <f t="shared" ca="1" si="7"/>
        <v>0</v>
      </c>
      <c r="O32" s="45">
        <f t="shared" ca="1" si="8"/>
        <v>0</v>
      </c>
      <c r="P32" s="82">
        <f t="shared" ca="1" si="2"/>
        <v>1.5</v>
      </c>
      <c r="Q32" s="82">
        <f t="shared" ca="1" si="9"/>
        <v>1.5</v>
      </c>
      <c r="S32" s="49">
        <v>25</v>
      </c>
      <c r="T32" s="49">
        <v>38904.520000000004</v>
      </c>
      <c r="U32" s="49">
        <v>42045.489999999983</v>
      </c>
      <c r="V32" s="49">
        <v>40228.530000000042</v>
      </c>
      <c r="W32" s="49">
        <v>41597.500000000007</v>
      </c>
      <c r="X32" s="49">
        <v>40228.479999999981</v>
      </c>
      <c r="Y32" s="49">
        <v>40461.500000000022</v>
      </c>
      <c r="Z32" s="49">
        <v>47288.699999999968</v>
      </c>
    </row>
    <row r="33" spans="9:26">
      <c r="I33" s="45">
        <v>25</v>
      </c>
      <c r="J33" s="45">
        <f t="shared" ca="1" si="3"/>
        <v>213</v>
      </c>
      <c r="K33" s="45">
        <f t="shared" ca="1" si="4"/>
        <v>53</v>
      </c>
      <c r="L33" s="45">
        <f t="shared" ca="1" si="6"/>
        <v>160</v>
      </c>
      <c r="M33" s="45">
        <f t="shared" ca="1" si="5"/>
        <v>0</v>
      </c>
      <c r="N33" s="45">
        <f t="shared" ca="1" si="7"/>
        <v>0</v>
      </c>
      <c r="O33" s="45">
        <f t="shared" ca="1" si="8"/>
        <v>0</v>
      </c>
      <c r="P33" s="82">
        <f t="shared" ca="1" si="2"/>
        <v>16</v>
      </c>
      <c r="Q33" s="82">
        <f t="shared" ca="1" si="9"/>
        <v>16</v>
      </c>
      <c r="S33" s="49">
        <v>26</v>
      </c>
      <c r="T33" s="49">
        <v>39098.079999999973</v>
      </c>
      <c r="U33" s="49">
        <v>48364.759999999966</v>
      </c>
      <c r="V33" s="49">
        <v>42545.299999999974</v>
      </c>
      <c r="W33" s="49">
        <v>42875.270000000004</v>
      </c>
      <c r="X33" s="49">
        <v>43659.499999999985</v>
      </c>
      <c r="Y33" s="49">
        <v>43795.839999999997</v>
      </c>
      <c r="Z33" s="49">
        <v>49187.039999999994</v>
      </c>
    </row>
    <row r="34" spans="9:26">
      <c r="I34" s="45">
        <v>26</v>
      </c>
      <c r="J34" s="45">
        <f t="shared" ca="1" si="3"/>
        <v>160</v>
      </c>
      <c r="K34" s="45">
        <f t="shared" ca="1" si="4"/>
        <v>51</v>
      </c>
      <c r="L34" s="45">
        <f t="shared" ca="1" si="6"/>
        <v>109</v>
      </c>
      <c r="M34" s="45">
        <f t="shared" ca="1" si="5"/>
        <v>0</v>
      </c>
      <c r="N34" s="45">
        <f t="shared" ca="1" si="7"/>
        <v>0</v>
      </c>
      <c r="O34" s="45">
        <f t="shared" ca="1" si="8"/>
        <v>0</v>
      </c>
      <c r="P34" s="82">
        <f t="shared" ca="1" si="2"/>
        <v>10.9</v>
      </c>
      <c r="Q34" s="82">
        <f t="shared" ca="1" si="9"/>
        <v>10.9</v>
      </c>
      <c r="S34" s="49">
        <v>27</v>
      </c>
      <c r="T34" s="49">
        <v>43721.280000000035</v>
      </c>
      <c r="U34" s="49">
        <v>41737.530000000006</v>
      </c>
      <c r="V34" s="49">
        <v>45689.999999999978</v>
      </c>
      <c r="W34" s="49">
        <v>40743.989999999983</v>
      </c>
      <c r="X34" s="49">
        <v>43940.039999999994</v>
      </c>
      <c r="Y34" s="49">
        <v>42262.719999999965</v>
      </c>
      <c r="Z34" s="49">
        <v>49169.92000000002</v>
      </c>
    </row>
    <row r="35" spans="9:26">
      <c r="I35" s="45">
        <v>27</v>
      </c>
      <c r="J35" s="45">
        <f t="shared" ca="1" si="3"/>
        <v>109</v>
      </c>
      <c r="K35" s="45">
        <f t="shared" ca="1" si="4"/>
        <v>54</v>
      </c>
      <c r="L35" s="45">
        <f t="shared" ca="1" si="6"/>
        <v>55</v>
      </c>
      <c r="M35" s="45">
        <f t="shared" ca="1" si="5"/>
        <v>1</v>
      </c>
      <c r="N35" s="45">
        <f t="shared" ca="1" si="7"/>
        <v>2</v>
      </c>
      <c r="O35" s="45">
        <f t="shared" ca="1" si="8"/>
        <v>400</v>
      </c>
      <c r="P35" s="82">
        <f t="shared" ca="1" si="2"/>
        <v>5.5</v>
      </c>
      <c r="Q35" s="82">
        <f t="shared" ca="1" si="9"/>
        <v>405.5</v>
      </c>
      <c r="S35" s="49">
        <v>28</v>
      </c>
      <c r="T35" s="49">
        <v>45776.260000000031</v>
      </c>
      <c r="U35" s="49">
        <v>41966.95999999997</v>
      </c>
      <c r="V35" s="49">
        <v>43772.199999999983</v>
      </c>
      <c r="W35" s="49">
        <v>39554.800000000003</v>
      </c>
      <c r="X35" s="49">
        <v>41838.999999999985</v>
      </c>
      <c r="Y35" s="49">
        <v>43472.320000000036</v>
      </c>
      <c r="Z35" s="49">
        <v>47720.899999999972</v>
      </c>
    </row>
    <row r="36" spans="9:26">
      <c r="I36" s="45">
        <v>28</v>
      </c>
      <c r="J36" s="45">
        <f t="shared" ca="1" si="3"/>
        <v>55</v>
      </c>
      <c r="K36" s="45">
        <f t="shared" ca="1" si="4"/>
        <v>51</v>
      </c>
      <c r="L36" s="45">
        <f t="shared" ca="1" si="6"/>
        <v>4</v>
      </c>
      <c r="M36" s="45">
        <f t="shared" ca="1" si="5"/>
        <v>0</v>
      </c>
      <c r="N36" s="45">
        <f t="shared" ca="1" si="7"/>
        <v>0</v>
      </c>
      <c r="O36" s="45">
        <f t="shared" ca="1" si="8"/>
        <v>0</v>
      </c>
      <c r="P36" s="82">
        <f t="shared" ca="1" si="2"/>
        <v>0.4</v>
      </c>
      <c r="Q36" s="82">
        <f t="shared" ca="1" si="9"/>
        <v>0.4</v>
      </c>
      <c r="S36" s="49">
        <v>29</v>
      </c>
      <c r="T36" s="49">
        <v>41954.96</v>
      </c>
      <c r="U36" s="49">
        <v>42846.600000000013</v>
      </c>
      <c r="V36" s="49">
        <v>41603.619999999995</v>
      </c>
      <c r="W36" s="49">
        <v>42418.410000000018</v>
      </c>
      <c r="X36" s="49">
        <v>38456.740000000005</v>
      </c>
      <c r="Y36" s="49">
        <v>41325.300000000025</v>
      </c>
      <c r="Z36" s="49">
        <v>43774.260000000024</v>
      </c>
    </row>
    <row r="37" spans="9:26">
      <c r="I37" s="45">
        <v>29</v>
      </c>
      <c r="J37" s="45">
        <f t="shared" ca="1" si="3"/>
        <v>202</v>
      </c>
      <c r="K37" s="45">
        <f t="shared" ca="1" si="4"/>
        <v>50</v>
      </c>
      <c r="L37" s="45">
        <f t="shared" ca="1" si="6"/>
        <v>152</v>
      </c>
      <c r="M37" s="45">
        <f t="shared" ca="1" si="5"/>
        <v>0</v>
      </c>
      <c r="N37" s="45">
        <f t="shared" ca="1" si="7"/>
        <v>0</v>
      </c>
      <c r="O37" s="45">
        <f t="shared" ca="1" si="8"/>
        <v>0</v>
      </c>
      <c r="P37" s="82">
        <f t="shared" ca="1" si="2"/>
        <v>15.200000000000001</v>
      </c>
      <c r="Q37" s="82">
        <f t="shared" ca="1" si="9"/>
        <v>15.200000000000001</v>
      </c>
      <c r="S37" s="49">
        <v>30</v>
      </c>
      <c r="T37" s="49">
        <v>43481.350000000013</v>
      </c>
      <c r="U37" s="49">
        <v>39263.100000000013</v>
      </c>
      <c r="V37" s="49">
        <v>42096.560000000027</v>
      </c>
      <c r="W37" s="49">
        <v>41799.969999999987</v>
      </c>
      <c r="X37" s="49">
        <v>45850.419999999918</v>
      </c>
      <c r="Y37" s="49">
        <v>43742.960000000006</v>
      </c>
      <c r="Z37" s="49">
        <v>47520.959999999992</v>
      </c>
    </row>
    <row r="38" spans="9:26">
      <c r="I38" s="45">
        <v>30</v>
      </c>
      <c r="J38" s="45">
        <f t="shared" ca="1" si="3"/>
        <v>152</v>
      </c>
      <c r="K38" s="45">
        <f t="shared" ca="1" si="4"/>
        <v>53</v>
      </c>
      <c r="L38" s="45">
        <f t="shared" ca="1" si="6"/>
        <v>99</v>
      </c>
      <c r="M38" s="45">
        <f t="shared" ca="1" si="5"/>
        <v>1</v>
      </c>
      <c r="N38" s="45">
        <f t="shared" ca="1" si="7"/>
        <v>2</v>
      </c>
      <c r="O38" s="45">
        <f t="shared" ca="1" si="8"/>
        <v>400</v>
      </c>
      <c r="P38" s="82">
        <f t="shared" ca="1" si="2"/>
        <v>9.9</v>
      </c>
      <c r="Q38" s="82">
        <f t="shared" ca="1" si="9"/>
        <v>409.9</v>
      </c>
      <c r="S38" s="49">
        <v>31</v>
      </c>
      <c r="T38" s="49">
        <v>41593.359999999986</v>
      </c>
      <c r="U38" s="49">
        <v>40023.29</v>
      </c>
      <c r="V38" s="49">
        <v>41591.140000000014</v>
      </c>
      <c r="W38" s="49">
        <v>45229.280000000021</v>
      </c>
      <c r="X38" s="49">
        <v>45397.11000000003</v>
      </c>
      <c r="Y38" s="49">
        <v>42736.519999999975</v>
      </c>
      <c r="Z38" s="49">
        <v>46695.920000000027</v>
      </c>
    </row>
    <row r="39" spans="9:26">
      <c r="I39" s="45">
        <v>31</v>
      </c>
      <c r="J39" s="45">
        <f t="shared" ca="1" si="3"/>
        <v>99</v>
      </c>
      <c r="K39" s="45">
        <f t="shared" ca="1" si="4"/>
        <v>53</v>
      </c>
      <c r="L39" s="45">
        <f t="shared" ca="1" si="6"/>
        <v>46</v>
      </c>
      <c r="M39" s="45">
        <f t="shared" ca="1" si="5"/>
        <v>0</v>
      </c>
      <c r="N39" s="45">
        <f t="shared" ca="1" si="7"/>
        <v>0</v>
      </c>
      <c r="O39" s="45">
        <f t="shared" ca="1" si="8"/>
        <v>0</v>
      </c>
      <c r="P39" s="82">
        <f t="shared" ca="1" si="2"/>
        <v>4.6000000000000005</v>
      </c>
      <c r="Q39" s="82">
        <f t="shared" ca="1" si="9"/>
        <v>4.6000000000000005</v>
      </c>
      <c r="S39" s="49">
        <v>32</v>
      </c>
      <c r="T39" s="49">
        <v>38823.619999999995</v>
      </c>
      <c r="U39" s="49">
        <v>34743.660000000011</v>
      </c>
      <c r="V39" s="49">
        <v>42488.79</v>
      </c>
      <c r="W39" s="49">
        <v>48134.100000000013</v>
      </c>
      <c r="X39" s="49">
        <v>45141.920000000042</v>
      </c>
      <c r="Y39" s="49">
        <v>45096.240000000027</v>
      </c>
      <c r="Z39" s="49">
        <v>49525.359999999986</v>
      </c>
    </row>
    <row r="40" spans="9:26">
      <c r="I40" s="45">
        <v>32</v>
      </c>
      <c r="J40" s="45">
        <f t="shared" ca="1" si="3"/>
        <v>244</v>
      </c>
      <c r="K40" s="45">
        <f t="shared" ca="1" si="4"/>
        <v>52</v>
      </c>
      <c r="L40" s="45">
        <f t="shared" ca="1" si="6"/>
        <v>192</v>
      </c>
      <c r="M40" s="45">
        <f t="shared" ca="1" si="5"/>
        <v>0</v>
      </c>
      <c r="N40" s="45">
        <f t="shared" ca="1" si="7"/>
        <v>0</v>
      </c>
      <c r="O40" s="45">
        <f t="shared" ca="1" si="8"/>
        <v>0</v>
      </c>
      <c r="P40" s="82">
        <f t="shared" ca="1" si="2"/>
        <v>19.200000000000003</v>
      </c>
      <c r="Q40" s="82">
        <f t="shared" ca="1" si="9"/>
        <v>19.200000000000003</v>
      </c>
      <c r="S40" s="49">
        <v>33</v>
      </c>
      <c r="T40" s="49">
        <v>41686.959999999992</v>
      </c>
      <c r="U40" s="49">
        <v>37401.840000000004</v>
      </c>
      <c r="V40" s="49">
        <v>47091.759999999973</v>
      </c>
      <c r="W40" s="49">
        <v>44484.54</v>
      </c>
      <c r="X40" s="49">
        <v>40005.629999999997</v>
      </c>
      <c r="Y40" s="49">
        <v>48237.439999999959</v>
      </c>
      <c r="Z40" s="49">
        <v>47070.059999999976</v>
      </c>
    </row>
    <row r="41" spans="9:26">
      <c r="I41" s="45">
        <v>33</v>
      </c>
      <c r="J41" s="45">
        <f t="shared" ca="1" si="3"/>
        <v>192</v>
      </c>
      <c r="K41" s="45">
        <f t="shared" ca="1" si="4"/>
        <v>54</v>
      </c>
      <c r="L41" s="45">
        <f t="shared" ca="1" si="6"/>
        <v>138</v>
      </c>
      <c r="M41" s="45">
        <f t="shared" ca="1" si="5"/>
        <v>0</v>
      </c>
      <c r="N41" s="45">
        <f t="shared" ca="1" si="7"/>
        <v>0</v>
      </c>
      <c r="O41" s="45">
        <f t="shared" ca="1" si="8"/>
        <v>0</v>
      </c>
      <c r="P41" s="82">
        <f t="shared" ca="1" si="2"/>
        <v>13.8</v>
      </c>
      <c r="Q41" s="82">
        <f t="shared" ca="1" si="9"/>
        <v>13.8</v>
      </c>
      <c r="S41" s="49">
        <v>34</v>
      </c>
      <c r="T41" s="49">
        <v>39151.390000000007</v>
      </c>
      <c r="U41" s="49">
        <v>43286.640000000014</v>
      </c>
      <c r="V41" s="49">
        <v>44354.899999999994</v>
      </c>
      <c r="W41" s="49">
        <v>41926.799999999988</v>
      </c>
      <c r="X41" s="49">
        <v>46282.389999999861</v>
      </c>
      <c r="Y41" s="49">
        <v>45792.759999999995</v>
      </c>
      <c r="Z41" s="49">
        <v>50871.699999999953</v>
      </c>
    </row>
    <row r="42" spans="9:26">
      <c r="I42" s="45">
        <v>34</v>
      </c>
      <c r="J42" s="45">
        <f t="shared" ca="1" si="3"/>
        <v>138</v>
      </c>
      <c r="K42" s="45">
        <f t="shared" ca="1" si="4"/>
        <v>52</v>
      </c>
      <c r="L42" s="45">
        <f t="shared" ca="1" si="6"/>
        <v>86</v>
      </c>
      <c r="M42" s="45">
        <f t="shared" ca="1" si="5"/>
        <v>1</v>
      </c>
      <c r="N42" s="45">
        <f t="shared" ca="1" si="7"/>
        <v>2</v>
      </c>
      <c r="O42" s="45">
        <f t="shared" ca="1" si="8"/>
        <v>400</v>
      </c>
      <c r="P42" s="82">
        <f t="shared" ca="1" si="2"/>
        <v>8.6</v>
      </c>
      <c r="Q42" s="82">
        <f t="shared" ca="1" si="9"/>
        <v>408.6</v>
      </c>
      <c r="S42" s="49">
        <v>35</v>
      </c>
      <c r="T42" s="49">
        <v>38871.260000000017</v>
      </c>
      <c r="U42" s="49">
        <v>41758.320000000007</v>
      </c>
      <c r="V42" s="49">
        <v>42515.899999999994</v>
      </c>
      <c r="W42" s="49">
        <v>45854.880000000026</v>
      </c>
      <c r="X42" s="49">
        <v>44220.479999999974</v>
      </c>
      <c r="Y42" s="49">
        <v>44089.280000000021</v>
      </c>
      <c r="Z42" s="49">
        <v>46635.680000000022</v>
      </c>
    </row>
    <row r="43" spans="9:26">
      <c r="I43" s="45">
        <v>35</v>
      </c>
      <c r="J43" s="45">
        <f t="shared" ca="1" si="3"/>
        <v>86</v>
      </c>
      <c r="K43" s="45">
        <f t="shared" ca="1" si="4"/>
        <v>51</v>
      </c>
      <c r="L43" s="45">
        <f t="shared" ca="1" si="6"/>
        <v>35</v>
      </c>
      <c r="M43" s="45">
        <f t="shared" ca="1" si="5"/>
        <v>0</v>
      </c>
      <c r="N43" s="45">
        <f t="shared" ca="1" si="7"/>
        <v>0</v>
      </c>
      <c r="O43" s="45">
        <f t="shared" ca="1" si="8"/>
        <v>0</v>
      </c>
      <c r="P43" s="82">
        <f t="shared" ca="1" si="2"/>
        <v>3.5</v>
      </c>
      <c r="Q43" s="82">
        <f t="shared" ca="1" si="9"/>
        <v>3.5</v>
      </c>
      <c r="S43" s="49">
        <v>36</v>
      </c>
      <c r="T43" s="49">
        <v>40706.020000000026</v>
      </c>
      <c r="U43" s="49">
        <v>35636.310000000019</v>
      </c>
      <c r="V43" s="49">
        <v>42868.26999999999</v>
      </c>
      <c r="W43" s="49">
        <v>39341.270000000019</v>
      </c>
      <c r="X43" s="49">
        <v>43860.040000000008</v>
      </c>
      <c r="Y43" s="49">
        <v>40966.909999999974</v>
      </c>
      <c r="Z43" s="49">
        <v>48859.28</v>
      </c>
    </row>
    <row r="44" spans="9:26">
      <c r="I44" s="45">
        <v>36</v>
      </c>
      <c r="J44" s="45">
        <f t="shared" ca="1" si="3"/>
        <v>233</v>
      </c>
      <c r="K44" s="45">
        <f t="shared" ca="1" si="4"/>
        <v>53</v>
      </c>
      <c r="L44" s="45">
        <f t="shared" ca="1" si="6"/>
        <v>180</v>
      </c>
      <c r="M44" s="45">
        <f t="shared" ca="1" si="5"/>
        <v>0</v>
      </c>
      <c r="N44" s="45">
        <f t="shared" ca="1" si="7"/>
        <v>0</v>
      </c>
      <c r="O44" s="45">
        <f t="shared" ca="1" si="8"/>
        <v>0</v>
      </c>
      <c r="P44" s="82">
        <f t="shared" ca="1" si="2"/>
        <v>18</v>
      </c>
      <c r="Q44" s="82">
        <f t="shared" ca="1" si="9"/>
        <v>18</v>
      </c>
      <c r="S44" s="49">
        <v>37</v>
      </c>
      <c r="T44" s="49">
        <v>44089.610000000022</v>
      </c>
      <c r="U44" s="49">
        <v>40525.920000000013</v>
      </c>
      <c r="V44" s="49">
        <v>39536.180000000066</v>
      </c>
      <c r="W44" s="49">
        <v>43787.880000000034</v>
      </c>
      <c r="X44" s="49">
        <v>49918.079999999987</v>
      </c>
      <c r="Y44" s="49">
        <v>43107.390000000007</v>
      </c>
      <c r="Z44" s="49">
        <v>44692.189999999981</v>
      </c>
    </row>
    <row r="45" spans="9:26">
      <c r="I45" s="45">
        <v>37</v>
      </c>
      <c r="J45" s="45">
        <f t="shared" ca="1" si="3"/>
        <v>180</v>
      </c>
      <c r="K45" s="45">
        <f t="shared" ca="1" si="4"/>
        <v>53</v>
      </c>
      <c r="L45" s="45">
        <f t="shared" ca="1" si="6"/>
        <v>127</v>
      </c>
      <c r="M45" s="45">
        <f t="shared" ca="1" si="5"/>
        <v>0</v>
      </c>
      <c r="N45" s="45">
        <f t="shared" ca="1" si="7"/>
        <v>0</v>
      </c>
      <c r="O45" s="45">
        <f t="shared" ca="1" si="8"/>
        <v>0</v>
      </c>
      <c r="P45" s="82">
        <f t="shared" ca="1" si="2"/>
        <v>12.700000000000001</v>
      </c>
      <c r="Q45" s="82">
        <f t="shared" ca="1" si="9"/>
        <v>12.700000000000001</v>
      </c>
      <c r="S45" s="49">
        <v>38</v>
      </c>
      <c r="T45" s="49">
        <v>38865.040000000001</v>
      </c>
      <c r="U45" s="49">
        <v>41094.170000000006</v>
      </c>
      <c r="V45" s="49">
        <v>38175.19</v>
      </c>
      <c r="W45" s="49">
        <v>43282.68</v>
      </c>
      <c r="X45" s="49">
        <v>47387.900000000016</v>
      </c>
      <c r="Y45" s="49">
        <v>53603.280000000013</v>
      </c>
      <c r="Z45" s="49">
        <v>41972.9</v>
      </c>
    </row>
    <row r="46" spans="9:26">
      <c r="I46" s="45">
        <v>38</v>
      </c>
      <c r="J46" s="45">
        <f t="shared" ca="1" si="3"/>
        <v>127</v>
      </c>
      <c r="K46" s="45">
        <f t="shared" ca="1" si="4"/>
        <v>53</v>
      </c>
      <c r="L46" s="45">
        <f t="shared" ca="1" si="6"/>
        <v>74</v>
      </c>
      <c r="M46" s="45">
        <f t="shared" ca="1" si="5"/>
        <v>1</v>
      </c>
      <c r="N46" s="45">
        <f t="shared" ca="1" si="7"/>
        <v>2</v>
      </c>
      <c r="O46" s="45">
        <f t="shared" ca="1" si="8"/>
        <v>400</v>
      </c>
      <c r="P46" s="82">
        <f t="shared" ca="1" si="2"/>
        <v>7.4</v>
      </c>
      <c r="Q46" s="82">
        <f t="shared" ca="1" si="9"/>
        <v>407.4</v>
      </c>
      <c r="S46" s="49">
        <v>39</v>
      </c>
      <c r="T46" s="49">
        <v>39466.320000000022</v>
      </c>
      <c r="U46" s="49">
        <v>37567.760000000009</v>
      </c>
      <c r="V46" s="49">
        <v>41897.760000000002</v>
      </c>
      <c r="W46" s="49">
        <v>38706.54000000003</v>
      </c>
      <c r="X46" s="49">
        <v>44818.8</v>
      </c>
      <c r="Y46" s="49">
        <v>38697.020000000019</v>
      </c>
      <c r="Z46" s="49">
        <v>44287.600000000028</v>
      </c>
    </row>
    <row r="47" spans="9:26">
      <c r="I47" s="45">
        <v>39</v>
      </c>
      <c r="J47" s="45">
        <f t="shared" ca="1" si="3"/>
        <v>74</v>
      </c>
      <c r="K47" s="45">
        <f t="shared" ca="1" si="4"/>
        <v>51</v>
      </c>
      <c r="L47" s="45">
        <f t="shared" ca="1" si="6"/>
        <v>23</v>
      </c>
      <c r="M47" s="45">
        <f t="shared" ca="1" si="5"/>
        <v>0</v>
      </c>
      <c r="N47" s="45">
        <f t="shared" ca="1" si="7"/>
        <v>0</v>
      </c>
      <c r="O47" s="45">
        <f t="shared" ca="1" si="8"/>
        <v>0</v>
      </c>
      <c r="P47" s="82">
        <f t="shared" ca="1" si="2"/>
        <v>2.3000000000000003</v>
      </c>
      <c r="Q47" s="82">
        <f t="shared" ca="1" si="9"/>
        <v>2.3000000000000003</v>
      </c>
      <c r="S47" s="49">
        <v>40</v>
      </c>
      <c r="T47" s="49">
        <v>37782.560000000005</v>
      </c>
      <c r="U47" s="49">
        <v>39232.050000000017</v>
      </c>
      <c r="V47" s="49">
        <v>39721.039999999986</v>
      </c>
      <c r="W47" s="49">
        <v>44831.569999999956</v>
      </c>
      <c r="X47" s="49">
        <v>41816.009999999973</v>
      </c>
      <c r="Y47" s="49">
        <v>44434.290000000023</v>
      </c>
      <c r="Z47" s="49">
        <v>46848.890000000043</v>
      </c>
    </row>
    <row r="48" spans="9:26">
      <c r="I48" s="45">
        <v>40</v>
      </c>
      <c r="J48" s="45">
        <f t="shared" ca="1" si="3"/>
        <v>221</v>
      </c>
      <c r="K48" s="45">
        <f t="shared" ca="1" si="4"/>
        <v>55</v>
      </c>
      <c r="L48" s="45">
        <f t="shared" ca="1" si="6"/>
        <v>166</v>
      </c>
      <c r="M48" s="45">
        <f t="shared" ca="1" si="5"/>
        <v>0</v>
      </c>
      <c r="N48" s="45">
        <f t="shared" ca="1" si="7"/>
        <v>0</v>
      </c>
      <c r="O48" s="45">
        <f t="shared" ca="1" si="8"/>
        <v>0</v>
      </c>
      <c r="P48" s="82">
        <f t="shared" ca="1" si="2"/>
        <v>16.600000000000001</v>
      </c>
      <c r="Q48" s="82">
        <f t="shared" ca="1" si="9"/>
        <v>16.600000000000001</v>
      </c>
      <c r="S48" s="49">
        <v>41</v>
      </c>
      <c r="T48" s="49">
        <v>38281.200000000012</v>
      </c>
      <c r="U48" s="49">
        <v>41665.800000000017</v>
      </c>
      <c r="V48" s="49">
        <v>48109.300000000025</v>
      </c>
      <c r="W48" s="49">
        <v>42065.82</v>
      </c>
      <c r="X48" s="49">
        <v>45571.119999999981</v>
      </c>
      <c r="Y48" s="49">
        <v>45301.840000000011</v>
      </c>
      <c r="Z48" s="49">
        <v>45490.280000000013</v>
      </c>
    </row>
    <row r="49" spans="9:26">
      <c r="I49" s="45">
        <v>41</v>
      </c>
      <c r="J49" s="45">
        <f t="shared" ca="1" si="3"/>
        <v>166</v>
      </c>
      <c r="K49" s="45">
        <f t="shared" ca="1" si="4"/>
        <v>51</v>
      </c>
      <c r="L49" s="45">
        <f t="shared" ca="1" si="6"/>
        <v>115</v>
      </c>
      <c r="M49" s="45">
        <f t="shared" ca="1" si="5"/>
        <v>0</v>
      </c>
      <c r="N49" s="45">
        <f t="shared" ca="1" si="7"/>
        <v>0</v>
      </c>
      <c r="O49" s="45">
        <f t="shared" ca="1" si="8"/>
        <v>0</v>
      </c>
      <c r="P49" s="82">
        <f t="shared" ca="1" si="2"/>
        <v>11.5</v>
      </c>
      <c r="Q49" s="82">
        <f t="shared" ca="1" si="9"/>
        <v>11.5</v>
      </c>
      <c r="S49" s="49">
        <v>42</v>
      </c>
      <c r="T49" s="49">
        <v>37882.180000000008</v>
      </c>
      <c r="U49" s="49">
        <v>41000.000000000022</v>
      </c>
      <c r="V49" s="49">
        <v>41436.32</v>
      </c>
      <c r="W49" s="49">
        <v>49618.889999999985</v>
      </c>
      <c r="X49" s="49">
        <v>46308.359999999964</v>
      </c>
      <c r="Y49" s="49">
        <v>42540.719999999972</v>
      </c>
      <c r="Z49" s="49">
        <v>48815.149999999914</v>
      </c>
    </row>
    <row r="50" spans="9:26">
      <c r="I50" s="45">
        <v>42</v>
      </c>
      <c r="J50" s="45">
        <f t="shared" ca="1" si="3"/>
        <v>115</v>
      </c>
      <c r="K50" s="45">
        <f t="shared" ca="1" si="4"/>
        <v>53</v>
      </c>
      <c r="L50" s="45">
        <f t="shared" ca="1" si="6"/>
        <v>62</v>
      </c>
      <c r="M50" s="45">
        <f t="shared" ca="1" si="5"/>
        <v>1</v>
      </c>
      <c r="N50" s="45">
        <f t="shared" ca="1" si="7"/>
        <v>1</v>
      </c>
      <c r="O50" s="45">
        <f t="shared" ca="1" si="8"/>
        <v>400</v>
      </c>
      <c r="P50" s="82">
        <f t="shared" ca="1" si="2"/>
        <v>6.2</v>
      </c>
      <c r="Q50" s="82">
        <f t="shared" ca="1" si="9"/>
        <v>406.2</v>
      </c>
      <c r="S50" s="49">
        <v>43</v>
      </c>
      <c r="T50" s="49">
        <v>38551.949999999983</v>
      </c>
      <c r="U50" s="49">
        <v>45144.160000000033</v>
      </c>
      <c r="V50" s="49">
        <v>42515.680000000051</v>
      </c>
      <c r="W50" s="49">
        <v>40984.939999999937</v>
      </c>
      <c r="X50" s="49">
        <v>43902.900000000023</v>
      </c>
      <c r="Y50" s="49">
        <v>42454.160000000018</v>
      </c>
      <c r="Z50" s="49">
        <v>51775.370000000039</v>
      </c>
    </row>
    <row r="51" spans="9:26">
      <c r="I51" s="45">
        <v>43</v>
      </c>
      <c r="J51" s="45">
        <f t="shared" ca="1" si="3"/>
        <v>260</v>
      </c>
      <c r="K51" s="45">
        <f t="shared" ca="1" si="4"/>
        <v>54</v>
      </c>
      <c r="L51" s="45">
        <f t="shared" ca="1" si="6"/>
        <v>206</v>
      </c>
      <c r="M51" s="45">
        <f t="shared" ca="1" si="5"/>
        <v>0</v>
      </c>
      <c r="N51" s="45">
        <f t="shared" ca="1" si="7"/>
        <v>0</v>
      </c>
      <c r="O51" s="45">
        <f t="shared" ca="1" si="8"/>
        <v>0</v>
      </c>
      <c r="P51" s="82">
        <f t="shared" ca="1" si="2"/>
        <v>20.6</v>
      </c>
      <c r="Q51" s="82">
        <f t="shared" ca="1" si="9"/>
        <v>20.6</v>
      </c>
      <c r="S51" s="49">
        <v>44</v>
      </c>
      <c r="T51" s="49">
        <v>37933.070000000036</v>
      </c>
      <c r="U51" s="49">
        <v>39044.390000000021</v>
      </c>
      <c r="V51" s="49">
        <v>42527.8</v>
      </c>
      <c r="W51" s="49">
        <v>40613.200000000026</v>
      </c>
      <c r="X51" s="49">
        <v>45437.629999999968</v>
      </c>
      <c r="Y51" s="49">
        <v>45344.389999999992</v>
      </c>
      <c r="Z51" s="49">
        <v>44031.600000000042</v>
      </c>
    </row>
    <row r="52" spans="9:26">
      <c r="I52" s="45">
        <v>44</v>
      </c>
      <c r="J52" s="45">
        <f t="shared" ca="1" si="3"/>
        <v>206</v>
      </c>
      <c r="K52" s="45">
        <f t="shared" ca="1" si="4"/>
        <v>52</v>
      </c>
      <c r="L52" s="45">
        <f t="shared" ca="1" si="6"/>
        <v>154</v>
      </c>
      <c r="M52" s="45">
        <f t="shared" ca="1" si="5"/>
        <v>0</v>
      </c>
      <c r="N52" s="45">
        <f t="shared" ca="1" si="7"/>
        <v>0</v>
      </c>
      <c r="O52" s="45">
        <f t="shared" ca="1" si="8"/>
        <v>0</v>
      </c>
      <c r="P52" s="82">
        <f t="shared" ca="1" si="2"/>
        <v>15.4</v>
      </c>
      <c r="Q52" s="82">
        <f t="shared" ca="1" si="9"/>
        <v>15.4</v>
      </c>
      <c r="S52" s="49">
        <v>45</v>
      </c>
      <c r="T52" s="49">
        <v>39947.520000000011</v>
      </c>
      <c r="U52" s="49">
        <v>41662.399999999987</v>
      </c>
      <c r="V52" s="49">
        <v>44922.160000000018</v>
      </c>
      <c r="W52" s="49">
        <v>44489.099999999977</v>
      </c>
      <c r="X52" s="49">
        <v>40284.689999999973</v>
      </c>
      <c r="Y52" s="49">
        <v>40305.440000000017</v>
      </c>
      <c r="Z52" s="49">
        <v>47284.930000000015</v>
      </c>
    </row>
    <row r="53" spans="9:26">
      <c r="I53" s="45">
        <v>45</v>
      </c>
      <c r="J53" s="45">
        <f t="shared" ca="1" si="3"/>
        <v>154</v>
      </c>
      <c r="K53" s="45">
        <f t="shared" ca="1" si="4"/>
        <v>53</v>
      </c>
      <c r="L53" s="45">
        <f t="shared" ca="1" si="6"/>
        <v>101</v>
      </c>
      <c r="M53" s="45">
        <f t="shared" ca="1" si="5"/>
        <v>1</v>
      </c>
      <c r="N53" s="45">
        <f t="shared" ca="1" si="7"/>
        <v>2</v>
      </c>
      <c r="O53" s="45">
        <f t="shared" ca="1" si="8"/>
        <v>400</v>
      </c>
      <c r="P53" s="82">
        <f t="shared" ca="1" si="2"/>
        <v>10.100000000000001</v>
      </c>
      <c r="Q53" s="82">
        <f t="shared" ca="1" si="9"/>
        <v>410.1</v>
      </c>
      <c r="S53" s="49">
        <v>46</v>
      </c>
      <c r="T53" s="49">
        <v>37643.299999999974</v>
      </c>
      <c r="U53" s="49">
        <v>39436.020000000019</v>
      </c>
      <c r="V53" s="49">
        <v>45089.44000000001</v>
      </c>
      <c r="W53" s="49">
        <v>43438.559999999998</v>
      </c>
      <c r="X53" s="49">
        <v>57060.000000000015</v>
      </c>
      <c r="Y53" s="49">
        <v>48839.199999999983</v>
      </c>
      <c r="Z53" s="49">
        <v>47583.489999999962</v>
      </c>
    </row>
    <row r="54" spans="9:26">
      <c r="I54" s="45">
        <v>46</v>
      </c>
      <c r="J54" s="45">
        <f t="shared" ca="1" si="3"/>
        <v>101</v>
      </c>
      <c r="K54" s="45">
        <f t="shared" ca="1" si="4"/>
        <v>54</v>
      </c>
      <c r="L54" s="45">
        <f t="shared" ca="1" si="6"/>
        <v>47</v>
      </c>
      <c r="M54" s="45">
        <f t="shared" ca="1" si="5"/>
        <v>0</v>
      </c>
      <c r="N54" s="45">
        <f t="shared" ca="1" si="7"/>
        <v>0</v>
      </c>
      <c r="O54" s="45">
        <f t="shared" ca="1" si="8"/>
        <v>0</v>
      </c>
      <c r="P54" s="82">
        <f t="shared" ca="1" si="2"/>
        <v>4.7</v>
      </c>
      <c r="Q54" s="82">
        <f t="shared" ca="1" si="9"/>
        <v>4.7</v>
      </c>
      <c r="S54" s="49">
        <v>47</v>
      </c>
      <c r="T54" s="49">
        <v>43498.429999999978</v>
      </c>
      <c r="U54" s="49">
        <v>45326.599999999991</v>
      </c>
      <c r="V54" s="49">
        <v>42736.479999999974</v>
      </c>
      <c r="W54" s="49">
        <v>42174.69000000001</v>
      </c>
      <c r="X54" s="49">
        <v>44536.229999999981</v>
      </c>
      <c r="Y54" s="49">
        <v>45374.280000000006</v>
      </c>
      <c r="Z54" s="49">
        <v>46810.72999999996</v>
      </c>
    </row>
    <row r="55" spans="9:26">
      <c r="I55" s="45">
        <v>47</v>
      </c>
      <c r="J55" s="45">
        <f t="shared" ca="1" si="3"/>
        <v>245</v>
      </c>
      <c r="K55" s="45">
        <f t="shared" ca="1" si="4"/>
        <v>52</v>
      </c>
      <c r="L55" s="45">
        <f t="shared" ca="1" si="6"/>
        <v>193</v>
      </c>
      <c r="M55" s="45">
        <f t="shared" ca="1" si="5"/>
        <v>0</v>
      </c>
      <c r="N55" s="45">
        <f t="shared" ca="1" si="7"/>
        <v>0</v>
      </c>
      <c r="O55" s="45">
        <f t="shared" ca="1" si="8"/>
        <v>0</v>
      </c>
      <c r="P55" s="82">
        <f t="shared" ca="1" si="2"/>
        <v>19.3</v>
      </c>
      <c r="Q55" s="82">
        <f t="shared" ca="1" si="9"/>
        <v>19.3</v>
      </c>
      <c r="S55" s="49">
        <v>48</v>
      </c>
      <c r="T55" s="49">
        <v>39889.359999999964</v>
      </c>
      <c r="U55" s="49">
        <v>37301.799999999981</v>
      </c>
      <c r="V55" s="49">
        <v>39216.999999999993</v>
      </c>
      <c r="W55" s="49">
        <v>44302.100000000057</v>
      </c>
      <c r="X55" s="49">
        <v>43124.690000000024</v>
      </c>
      <c r="Y55" s="49">
        <v>40730.250000000029</v>
      </c>
      <c r="Z55" s="49">
        <v>44109.990000000005</v>
      </c>
    </row>
    <row r="56" spans="9:26">
      <c r="I56" s="45">
        <v>48</v>
      </c>
      <c r="J56" s="45">
        <f t="shared" ca="1" si="3"/>
        <v>193</v>
      </c>
      <c r="K56" s="45">
        <f t="shared" ca="1" si="4"/>
        <v>54</v>
      </c>
      <c r="L56" s="45">
        <f t="shared" ca="1" si="6"/>
        <v>139</v>
      </c>
      <c r="M56" s="45">
        <f t="shared" ca="1" si="5"/>
        <v>0</v>
      </c>
      <c r="N56" s="45">
        <f t="shared" ca="1" si="7"/>
        <v>0</v>
      </c>
      <c r="O56" s="45">
        <f t="shared" ca="1" si="8"/>
        <v>0</v>
      </c>
      <c r="P56" s="82">
        <f t="shared" ca="1" si="2"/>
        <v>13.9</v>
      </c>
      <c r="Q56" s="82">
        <f t="shared" ca="1" si="9"/>
        <v>13.9</v>
      </c>
      <c r="S56" s="49">
        <v>49</v>
      </c>
      <c r="T56" s="49">
        <v>38931.110000000008</v>
      </c>
      <c r="U56" s="49">
        <v>40572.449999999997</v>
      </c>
      <c r="V56" s="49">
        <v>44245.140000000043</v>
      </c>
      <c r="W56" s="49">
        <v>45637.919999999976</v>
      </c>
      <c r="X56" s="49">
        <v>42342.880000000019</v>
      </c>
      <c r="Y56" s="49">
        <v>44111.860000000022</v>
      </c>
      <c r="Z56" s="49">
        <v>44519.12000000001</v>
      </c>
    </row>
    <row r="57" spans="9:26">
      <c r="I57" s="45">
        <v>49</v>
      </c>
      <c r="J57" s="45">
        <f t="shared" ca="1" si="3"/>
        <v>139</v>
      </c>
      <c r="K57" s="45">
        <f t="shared" ca="1" si="4"/>
        <v>50</v>
      </c>
      <c r="L57" s="45">
        <f t="shared" ca="1" si="6"/>
        <v>89</v>
      </c>
      <c r="M57" s="45">
        <f t="shared" ca="1" si="5"/>
        <v>1</v>
      </c>
      <c r="N57" s="45">
        <f t="shared" ca="1" si="7"/>
        <v>1</v>
      </c>
      <c r="O57" s="45">
        <f t="shared" ca="1" si="8"/>
        <v>400</v>
      </c>
      <c r="P57" s="82">
        <f t="shared" ca="1" si="2"/>
        <v>8.9</v>
      </c>
      <c r="Q57" s="82">
        <f t="shared" ca="1" si="9"/>
        <v>408.9</v>
      </c>
      <c r="S57" s="49">
        <v>50</v>
      </c>
      <c r="T57" s="49">
        <v>43039.850000000035</v>
      </c>
      <c r="U57" s="49">
        <v>36659.880000000005</v>
      </c>
      <c r="V57" s="49">
        <v>44398.299999999996</v>
      </c>
      <c r="W57" s="49">
        <v>43082.620000000024</v>
      </c>
      <c r="X57" s="49">
        <v>41290.400000000023</v>
      </c>
      <c r="Y57" s="49">
        <v>42523.529999999984</v>
      </c>
      <c r="Z57" s="49">
        <v>42860.700000000019</v>
      </c>
    </row>
    <row r="58" spans="9:26">
      <c r="I58" s="45">
        <v>50</v>
      </c>
      <c r="J58" s="45">
        <f t="shared" ca="1" si="3"/>
        <v>287</v>
      </c>
      <c r="K58" s="45">
        <f t="shared" ca="1" si="4"/>
        <v>55</v>
      </c>
      <c r="L58" s="45">
        <f t="shared" ca="1" si="6"/>
        <v>232</v>
      </c>
      <c r="M58" s="45">
        <f t="shared" ca="1" si="5"/>
        <v>0</v>
      </c>
      <c r="N58" s="45">
        <f t="shared" ca="1" si="7"/>
        <v>0</v>
      </c>
      <c r="O58" s="45">
        <f t="shared" ca="1" si="8"/>
        <v>0</v>
      </c>
      <c r="P58" s="82">
        <f t="shared" ca="1" si="2"/>
        <v>23.200000000000003</v>
      </c>
      <c r="Q58" s="82">
        <f t="shared" ca="1" si="9"/>
        <v>23.200000000000003</v>
      </c>
    </row>
    <row r="59" spans="9:26">
      <c r="I59" s="45">
        <v>51</v>
      </c>
      <c r="J59" s="45">
        <f t="shared" ca="1" si="3"/>
        <v>232</v>
      </c>
      <c r="K59" s="45">
        <f t="shared" ca="1" si="4"/>
        <v>53</v>
      </c>
      <c r="L59" s="45">
        <f t="shared" ca="1" si="6"/>
        <v>179</v>
      </c>
      <c r="M59" s="45">
        <f t="shared" ca="1" si="5"/>
        <v>0</v>
      </c>
      <c r="N59" s="45">
        <f t="shared" ca="1" si="7"/>
        <v>0</v>
      </c>
      <c r="O59" s="45">
        <f t="shared" ca="1" si="8"/>
        <v>0</v>
      </c>
      <c r="P59" s="82">
        <f t="shared" ca="1" si="2"/>
        <v>17.900000000000002</v>
      </c>
      <c r="Q59" s="82">
        <f t="shared" ca="1" si="9"/>
        <v>17.900000000000002</v>
      </c>
    </row>
    <row r="60" spans="9:26">
      <c r="I60" s="45">
        <v>52</v>
      </c>
      <c r="J60" s="45">
        <f t="shared" ca="1" si="3"/>
        <v>179</v>
      </c>
      <c r="K60" s="45">
        <f t="shared" ca="1" si="4"/>
        <v>55</v>
      </c>
      <c r="L60" s="45">
        <f t="shared" ca="1" si="6"/>
        <v>124</v>
      </c>
      <c r="M60" s="45">
        <f t="shared" ca="1" si="5"/>
        <v>0</v>
      </c>
      <c r="N60" s="45">
        <f t="shared" ca="1" si="7"/>
        <v>0</v>
      </c>
      <c r="O60" s="45">
        <f t="shared" ca="1" si="8"/>
        <v>0</v>
      </c>
      <c r="P60" s="82">
        <f t="shared" ca="1" si="2"/>
        <v>12.4</v>
      </c>
      <c r="Q60" s="82">
        <f t="shared" ca="1" si="9"/>
        <v>12.4</v>
      </c>
    </row>
    <row r="61" spans="9:26">
      <c r="I61" s="45">
        <v>53</v>
      </c>
      <c r="J61" s="45">
        <f t="shared" ca="1" si="3"/>
        <v>124</v>
      </c>
      <c r="K61" s="45">
        <f t="shared" ca="1" si="4"/>
        <v>55</v>
      </c>
      <c r="L61" s="45">
        <f t="shared" ca="1" si="6"/>
        <v>69</v>
      </c>
      <c r="M61" s="45">
        <f t="shared" ca="1" si="5"/>
        <v>1</v>
      </c>
      <c r="N61" s="45">
        <f t="shared" ca="1" si="7"/>
        <v>1</v>
      </c>
      <c r="O61" s="45">
        <f t="shared" ca="1" si="8"/>
        <v>400</v>
      </c>
      <c r="P61" s="82">
        <f t="shared" ca="1" si="2"/>
        <v>6.9</v>
      </c>
      <c r="Q61" s="82">
        <f t="shared" ca="1" si="9"/>
        <v>406.9</v>
      </c>
    </row>
    <row r="62" spans="9:26">
      <c r="I62" s="45">
        <v>54</v>
      </c>
      <c r="J62" s="45">
        <f t="shared" ca="1" si="3"/>
        <v>267</v>
      </c>
      <c r="K62" s="45">
        <f t="shared" ca="1" si="4"/>
        <v>52</v>
      </c>
      <c r="L62" s="45">
        <f t="shared" ca="1" si="6"/>
        <v>215</v>
      </c>
      <c r="M62" s="45">
        <f t="shared" ca="1" si="5"/>
        <v>0</v>
      </c>
      <c r="N62" s="45">
        <f t="shared" ca="1" si="7"/>
        <v>0</v>
      </c>
      <c r="O62" s="45">
        <f t="shared" ca="1" si="8"/>
        <v>0</v>
      </c>
      <c r="P62" s="82">
        <f t="shared" ca="1" si="2"/>
        <v>21.5</v>
      </c>
      <c r="Q62" s="82">
        <f t="shared" ca="1" si="9"/>
        <v>21.5</v>
      </c>
    </row>
    <row r="63" spans="9:26">
      <c r="I63" s="45">
        <v>55</v>
      </c>
      <c r="J63" s="45">
        <f t="shared" ca="1" si="3"/>
        <v>215</v>
      </c>
      <c r="K63" s="45">
        <f t="shared" ca="1" si="4"/>
        <v>54</v>
      </c>
      <c r="L63" s="45">
        <f t="shared" ca="1" si="6"/>
        <v>161</v>
      </c>
      <c r="M63" s="45">
        <f t="shared" ca="1" si="5"/>
        <v>0</v>
      </c>
      <c r="N63" s="45">
        <f t="shared" ca="1" si="7"/>
        <v>0</v>
      </c>
      <c r="O63" s="45">
        <f t="shared" ca="1" si="8"/>
        <v>0</v>
      </c>
      <c r="P63" s="82">
        <f t="shared" ca="1" si="2"/>
        <v>16.100000000000001</v>
      </c>
      <c r="Q63" s="82">
        <f t="shared" ca="1" si="9"/>
        <v>16.100000000000001</v>
      </c>
    </row>
    <row r="64" spans="9:26">
      <c r="I64" s="45">
        <v>56</v>
      </c>
      <c r="J64" s="45">
        <f t="shared" ca="1" si="3"/>
        <v>161</v>
      </c>
      <c r="K64" s="45">
        <f t="shared" ca="1" si="4"/>
        <v>55</v>
      </c>
      <c r="L64" s="45">
        <f t="shared" ca="1" si="6"/>
        <v>106</v>
      </c>
      <c r="M64" s="45">
        <f t="shared" ca="1" si="5"/>
        <v>1</v>
      </c>
      <c r="N64" s="45">
        <f t="shared" ca="1" si="7"/>
        <v>1</v>
      </c>
      <c r="O64" s="45">
        <f t="shared" ca="1" si="8"/>
        <v>400</v>
      </c>
      <c r="P64" s="82">
        <f t="shared" ca="1" si="2"/>
        <v>10.600000000000001</v>
      </c>
      <c r="Q64" s="82">
        <f t="shared" ca="1" si="9"/>
        <v>410.6</v>
      </c>
    </row>
    <row r="65" spans="9:17">
      <c r="I65" s="45">
        <v>57</v>
      </c>
      <c r="J65" s="45">
        <f t="shared" ca="1" si="3"/>
        <v>304</v>
      </c>
      <c r="K65" s="45">
        <f t="shared" ca="1" si="4"/>
        <v>55</v>
      </c>
      <c r="L65" s="45">
        <f t="shared" ca="1" si="6"/>
        <v>249</v>
      </c>
      <c r="M65" s="45">
        <f t="shared" ca="1" si="5"/>
        <v>0</v>
      </c>
      <c r="N65" s="45">
        <f t="shared" ca="1" si="7"/>
        <v>0</v>
      </c>
      <c r="O65" s="45">
        <f t="shared" ca="1" si="8"/>
        <v>0</v>
      </c>
      <c r="P65" s="82">
        <f t="shared" ca="1" si="2"/>
        <v>24.900000000000002</v>
      </c>
      <c r="Q65" s="82">
        <f t="shared" ca="1" si="9"/>
        <v>24.900000000000002</v>
      </c>
    </row>
    <row r="66" spans="9:17">
      <c r="I66" s="45">
        <v>58</v>
      </c>
      <c r="J66" s="45">
        <f t="shared" ca="1" si="3"/>
        <v>249</v>
      </c>
      <c r="K66" s="45">
        <f t="shared" ca="1" si="4"/>
        <v>55</v>
      </c>
      <c r="L66" s="45">
        <f t="shared" ca="1" si="6"/>
        <v>194</v>
      </c>
      <c r="M66" s="45">
        <f t="shared" ca="1" si="5"/>
        <v>0</v>
      </c>
      <c r="N66" s="45">
        <f t="shared" ca="1" si="7"/>
        <v>0</v>
      </c>
      <c r="O66" s="45">
        <f t="shared" ca="1" si="8"/>
        <v>0</v>
      </c>
      <c r="P66" s="82">
        <f t="shared" ca="1" si="2"/>
        <v>19.400000000000002</v>
      </c>
      <c r="Q66" s="82">
        <f t="shared" ca="1" si="9"/>
        <v>19.400000000000002</v>
      </c>
    </row>
    <row r="67" spans="9:17">
      <c r="I67" s="45">
        <v>59</v>
      </c>
      <c r="J67" s="45">
        <f t="shared" ca="1" si="3"/>
        <v>194</v>
      </c>
      <c r="K67" s="45">
        <f t="shared" ca="1" si="4"/>
        <v>53</v>
      </c>
      <c r="L67" s="45">
        <f t="shared" ca="1" si="6"/>
        <v>141</v>
      </c>
      <c r="M67" s="45">
        <f t="shared" ca="1" si="5"/>
        <v>0</v>
      </c>
      <c r="N67" s="45">
        <f t="shared" ca="1" si="7"/>
        <v>0</v>
      </c>
      <c r="O67" s="45">
        <f t="shared" ca="1" si="8"/>
        <v>0</v>
      </c>
      <c r="P67" s="82">
        <f t="shared" ca="1" si="2"/>
        <v>14.100000000000001</v>
      </c>
      <c r="Q67" s="82">
        <f t="shared" ca="1" si="9"/>
        <v>14.100000000000001</v>
      </c>
    </row>
    <row r="68" spans="9:17">
      <c r="I68" s="45">
        <v>60</v>
      </c>
      <c r="J68" s="45">
        <f t="shared" ca="1" si="3"/>
        <v>141</v>
      </c>
      <c r="K68" s="45">
        <f t="shared" ca="1" si="4"/>
        <v>55</v>
      </c>
      <c r="L68" s="45">
        <f t="shared" ca="1" si="6"/>
        <v>86</v>
      </c>
      <c r="M68" s="45">
        <f t="shared" ca="1" si="5"/>
        <v>1</v>
      </c>
      <c r="N68" s="45">
        <f t="shared" ca="1" si="7"/>
        <v>1</v>
      </c>
      <c r="O68" s="45">
        <f t="shared" ca="1" si="8"/>
        <v>400</v>
      </c>
      <c r="P68" s="82">
        <f t="shared" ca="1" si="2"/>
        <v>8.6</v>
      </c>
      <c r="Q68" s="82">
        <f t="shared" ca="1" si="9"/>
        <v>408.6</v>
      </c>
    </row>
    <row r="69" spans="9:17">
      <c r="I69" s="45">
        <v>61</v>
      </c>
      <c r="J69" s="45">
        <f t="shared" ca="1" si="3"/>
        <v>284</v>
      </c>
      <c r="K69" s="45">
        <f t="shared" ca="1" si="4"/>
        <v>54</v>
      </c>
      <c r="L69" s="45">
        <f t="shared" ca="1" si="6"/>
        <v>230</v>
      </c>
      <c r="M69" s="45">
        <f t="shared" ca="1" si="5"/>
        <v>0</v>
      </c>
      <c r="N69" s="45">
        <f t="shared" ca="1" si="7"/>
        <v>0</v>
      </c>
      <c r="O69" s="45">
        <f t="shared" ca="1" si="8"/>
        <v>0</v>
      </c>
      <c r="P69" s="82">
        <f t="shared" ca="1" si="2"/>
        <v>23</v>
      </c>
      <c r="Q69" s="82">
        <f t="shared" ca="1" si="9"/>
        <v>23</v>
      </c>
    </row>
    <row r="70" spans="9:17">
      <c r="I70" s="45">
        <v>62</v>
      </c>
      <c r="J70" s="45">
        <f t="shared" ca="1" si="3"/>
        <v>230</v>
      </c>
      <c r="K70" s="45">
        <f t="shared" ca="1" si="4"/>
        <v>54</v>
      </c>
      <c r="L70" s="45">
        <f t="shared" ca="1" si="6"/>
        <v>176</v>
      </c>
      <c r="M70" s="45">
        <f t="shared" ca="1" si="5"/>
        <v>0</v>
      </c>
      <c r="N70" s="45">
        <f t="shared" ca="1" si="7"/>
        <v>0</v>
      </c>
      <c r="O70" s="45">
        <f t="shared" ca="1" si="8"/>
        <v>0</v>
      </c>
      <c r="P70" s="82">
        <f t="shared" ca="1" si="2"/>
        <v>17.600000000000001</v>
      </c>
      <c r="Q70" s="82">
        <f t="shared" ca="1" si="9"/>
        <v>17.600000000000001</v>
      </c>
    </row>
    <row r="71" spans="9:17">
      <c r="I71" s="45">
        <v>63</v>
      </c>
      <c r="J71" s="45">
        <f t="shared" ca="1" si="3"/>
        <v>176</v>
      </c>
      <c r="K71" s="45">
        <f t="shared" ca="1" si="4"/>
        <v>53</v>
      </c>
      <c r="L71" s="45">
        <f t="shared" ca="1" si="6"/>
        <v>123</v>
      </c>
      <c r="M71" s="45">
        <f t="shared" ca="1" si="5"/>
        <v>0</v>
      </c>
      <c r="N71" s="45">
        <f t="shared" ca="1" si="7"/>
        <v>0</v>
      </c>
      <c r="O71" s="45">
        <f t="shared" ca="1" si="8"/>
        <v>0</v>
      </c>
      <c r="P71" s="82">
        <f t="shared" ca="1" si="2"/>
        <v>12.3</v>
      </c>
      <c r="Q71" s="82">
        <f t="shared" ca="1" si="9"/>
        <v>12.3</v>
      </c>
    </row>
    <row r="72" spans="9:17">
      <c r="I72" s="45">
        <v>64</v>
      </c>
      <c r="J72" s="45">
        <f t="shared" ca="1" si="3"/>
        <v>123</v>
      </c>
      <c r="K72" s="45">
        <f t="shared" ca="1" si="4"/>
        <v>52</v>
      </c>
      <c r="L72" s="45">
        <f t="shared" ca="1" si="6"/>
        <v>71</v>
      </c>
      <c r="M72" s="45">
        <f t="shared" ca="1" si="5"/>
        <v>1</v>
      </c>
      <c r="N72" s="45">
        <f t="shared" ca="1" si="7"/>
        <v>2</v>
      </c>
      <c r="O72" s="45">
        <f t="shared" ca="1" si="8"/>
        <v>400</v>
      </c>
      <c r="P72" s="82">
        <f t="shared" ca="1" si="2"/>
        <v>7.1000000000000005</v>
      </c>
      <c r="Q72" s="82">
        <f t="shared" ca="1" si="9"/>
        <v>407.1</v>
      </c>
    </row>
    <row r="73" spans="9:17">
      <c r="I73" s="45">
        <v>65</v>
      </c>
      <c r="J73" s="45">
        <f t="shared" ca="1" si="3"/>
        <v>71</v>
      </c>
      <c r="K73" s="45">
        <f t="shared" ca="1" si="4"/>
        <v>52</v>
      </c>
      <c r="L73" s="45">
        <f t="shared" ca="1" si="6"/>
        <v>19</v>
      </c>
      <c r="M73" s="45">
        <f t="shared" ca="1" si="5"/>
        <v>0</v>
      </c>
      <c r="N73" s="45">
        <f t="shared" ca="1" si="7"/>
        <v>0</v>
      </c>
      <c r="O73" s="45">
        <f t="shared" ca="1" si="8"/>
        <v>0</v>
      </c>
      <c r="P73" s="82">
        <f t="shared" ref="P73:P136" ca="1" si="10">L73*$C$5</f>
        <v>1.9000000000000001</v>
      </c>
      <c r="Q73" s="82">
        <f t="shared" ca="1" si="9"/>
        <v>1.9000000000000001</v>
      </c>
    </row>
    <row r="74" spans="9:17">
      <c r="I74" s="45">
        <v>66</v>
      </c>
      <c r="J74" s="45">
        <f t="shared" ref="J74:J137" ca="1" si="11">L73+IF(N73=1,$C$6,0)+IF(N72=2,$C$6,0)</f>
        <v>217</v>
      </c>
      <c r="K74" s="45">
        <f t="shared" ref="K74:K137" ca="1" si="12">INDEX($E$4:$E$9,MATCH(RAND(),$G$4:$G$10,1))</f>
        <v>50</v>
      </c>
      <c r="L74" s="45">
        <f t="shared" ca="1" si="6"/>
        <v>167</v>
      </c>
      <c r="M74" s="45">
        <f t="shared" ref="M74:M137" ca="1" si="13">IF(L74&lt;2*K75,IF(N73=2,0,1),0)</f>
        <v>0</v>
      </c>
      <c r="N74" s="45">
        <f t="shared" ca="1" si="7"/>
        <v>0</v>
      </c>
      <c r="O74" s="45">
        <f t="shared" ca="1" si="8"/>
        <v>0</v>
      </c>
      <c r="P74" s="82">
        <f t="shared" ca="1" si="10"/>
        <v>16.7</v>
      </c>
      <c r="Q74" s="82">
        <f t="shared" ca="1" si="9"/>
        <v>16.7</v>
      </c>
    </row>
    <row r="75" spans="9:17">
      <c r="I75" s="45">
        <v>67</v>
      </c>
      <c r="J75" s="45">
        <f t="shared" ca="1" si="11"/>
        <v>167</v>
      </c>
      <c r="K75" s="45">
        <f t="shared" ca="1" si="12"/>
        <v>55</v>
      </c>
      <c r="L75" s="45">
        <f t="shared" ref="L75:L138" ca="1" si="14">J75-K75</f>
        <v>112</v>
      </c>
      <c r="M75" s="45">
        <f t="shared" ca="1" si="13"/>
        <v>0</v>
      </c>
      <c r="N75" s="45">
        <f t="shared" ref="N75:N138" ca="1" si="15">IF(M75=1,RANDBETWEEN(1,2),0)</f>
        <v>0</v>
      </c>
      <c r="O75" s="45">
        <f t="shared" ref="O75:O138" ca="1" si="16">IF(M75=1,$C$3,0)</f>
        <v>0</v>
      </c>
      <c r="P75" s="82">
        <f t="shared" ca="1" si="10"/>
        <v>11.200000000000001</v>
      </c>
      <c r="Q75" s="82">
        <f t="shared" ref="Q75:Q138" ca="1" si="17">O75+P75</f>
        <v>11.200000000000001</v>
      </c>
    </row>
    <row r="76" spans="9:17">
      <c r="I76" s="45">
        <v>68</v>
      </c>
      <c r="J76" s="45">
        <f t="shared" ca="1" si="11"/>
        <v>112</v>
      </c>
      <c r="K76" s="45">
        <f t="shared" ca="1" si="12"/>
        <v>53</v>
      </c>
      <c r="L76" s="45">
        <f t="shared" ca="1" si="14"/>
        <v>59</v>
      </c>
      <c r="M76" s="45">
        <f t="shared" ca="1" si="13"/>
        <v>1</v>
      </c>
      <c r="N76" s="45">
        <f t="shared" ca="1" si="15"/>
        <v>1</v>
      </c>
      <c r="O76" s="45">
        <f t="shared" ca="1" si="16"/>
        <v>400</v>
      </c>
      <c r="P76" s="82">
        <f t="shared" ca="1" si="10"/>
        <v>5.9</v>
      </c>
      <c r="Q76" s="82">
        <f t="shared" ca="1" si="17"/>
        <v>405.9</v>
      </c>
    </row>
    <row r="77" spans="9:17">
      <c r="I77" s="45">
        <v>69</v>
      </c>
      <c r="J77" s="45">
        <f t="shared" ca="1" si="11"/>
        <v>257</v>
      </c>
      <c r="K77" s="45">
        <f t="shared" ca="1" si="12"/>
        <v>55</v>
      </c>
      <c r="L77" s="45">
        <f t="shared" ca="1" si="14"/>
        <v>202</v>
      </c>
      <c r="M77" s="45">
        <f t="shared" ca="1" si="13"/>
        <v>0</v>
      </c>
      <c r="N77" s="45">
        <f t="shared" ca="1" si="15"/>
        <v>0</v>
      </c>
      <c r="O77" s="45">
        <f t="shared" ca="1" si="16"/>
        <v>0</v>
      </c>
      <c r="P77" s="82">
        <f t="shared" ca="1" si="10"/>
        <v>20.200000000000003</v>
      </c>
      <c r="Q77" s="82">
        <f t="shared" ca="1" si="17"/>
        <v>20.200000000000003</v>
      </c>
    </row>
    <row r="78" spans="9:17">
      <c r="I78" s="45">
        <v>70</v>
      </c>
      <c r="J78" s="45">
        <f t="shared" ca="1" si="11"/>
        <v>202</v>
      </c>
      <c r="K78" s="45">
        <f t="shared" ca="1" si="12"/>
        <v>52</v>
      </c>
      <c r="L78" s="45">
        <f t="shared" ca="1" si="14"/>
        <v>150</v>
      </c>
      <c r="M78" s="45">
        <f t="shared" ca="1" si="13"/>
        <v>0</v>
      </c>
      <c r="N78" s="45">
        <f t="shared" ca="1" si="15"/>
        <v>0</v>
      </c>
      <c r="O78" s="45">
        <f t="shared" ca="1" si="16"/>
        <v>0</v>
      </c>
      <c r="P78" s="82">
        <f t="shared" ca="1" si="10"/>
        <v>15</v>
      </c>
      <c r="Q78" s="82">
        <f t="shared" ca="1" si="17"/>
        <v>15</v>
      </c>
    </row>
    <row r="79" spans="9:17">
      <c r="I79" s="45">
        <v>71</v>
      </c>
      <c r="J79" s="45">
        <f t="shared" ca="1" si="11"/>
        <v>150</v>
      </c>
      <c r="K79" s="45">
        <f t="shared" ca="1" si="12"/>
        <v>54</v>
      </c>
      <c r="L79" s="45">
        <f t="shared" ca="1" si="14"/>
        <v>96</v>
      </c>
      <c r="M79" s="45">
        <f t="shared" ca="1" si="13"/>
        <v>1</v>
      </c>
      <c r="N79" s="45">
        <f t="shared" ca="1" si="15"/>
        <v>1</v>
      </c>
      <c r="O79" s="45">
        <f t="shared" ca="1" si="16"/>
        <v>400</v>
      </c>
      <c r="P79" s="82">
        <f t="shared" ca="1" si="10"/>
        <v>9.6000000000000014</v>
      </c>
      <c r="Q79" s="82">
        <f t="shared" ca="1" si="17"/>
        <v>409.6</v>
      </c>
    </row>
    <row r="80" spans="9:17">
      <c r="I80" s="45">
        <v>72</v>
      </c>
      <c r="J80" s="45">
        <f t="shared" ca="1" si="11"/>
        <v>294</v>
      </c>
      <c r="K80" s="45">
        <f t="shared" ca="1" si="12"/>
        <v>53</v>
      </c>
      <c r="L80" s="45">
        <f t="shared" ca="1" si="14"/>
        <v>241</v>
      </c>
      <c r="M80" s="45">
        <f t="shared" ca="1" si="13"/>
        <v>0</v>
      </c>
      <c r="N80" s="45">
        <f t="shared" ca="1" si="15"/>
        <v>0</v>
      </c>
      <c r="O80" s="45">
        <f t="shared" ca="1" si="16"/>
        <v>0</v>
      </c>
      <c r="P80" s="82">
        <f t="shared" ca="1" si="10"/>
        <v>24.1</v>
      </c>
      <c r="Q80" s="82">
        <f t="shared" ca="1" si="17"/>
        <v>24.1</v>
      </c>
    </row>
    <row r="81" spans="9:17">
      <c r="I81" s="45">
        <v>73</v>
      </c>
      <c r="J81" s="45">
        <f t="shared" ca="1" si="11"/>
        <v>241</v>
      </c>
      <c r="K81" s="45">
        <f t="shared" ca="1" si="12"/>
        <v>53</v>
      </c>
      <c r="L81" s="45">
        <f t="shared" ca="1" si="14"/>
        <v>188</v>
      </c>
      <c r="M81" s="45">
        <f t="shared" ca="1" si="13"/>
        <v>0</v>
      </c>
      <c r="N81" s="45">
        <f t="shared" ca="1" si="15"/>
        <v>0</v>
      </c>
      <c r="O81" s="45">
        <f t="shared" ca="1" si="16"/>
        <v>0</v>
      </c>
      <c r="P81" s="82">
        <f t="shared" ca="1" si="10"/>
        <v>18.8</v>
      </c>
      <c r="Q81" s="82">
        <f t="shared" ca="1" si="17"/>
        <v>18.8</v>
      </c>
    </row>
    <row r="82" spans="9:17">
      <c r="I82" s="45">
        <v>74</v>
      </c>
      <c r="J82" s="45">
        <f t="shared" ca="1" si="11"/>
        <v>188</v>
      </c>
      <c r="K82" s="45">
        <f t="shared" ca="1" si="12"/>
        <v>52</v>
      </c>
      <c r="L82" s="45">
        <f t="shared" ca="1" si="14"/>
        <v>136</v>
      </c>
      <c r="M82" s="45">
        <f t="shared" ca="1" si="13"/>
        <v>0</v>
      </c>
      <c r="N82" s="45">
        <f t="shared" ca="1" si="15"/>
        <v>0</v>
      </c>
      <c r="O82" s="45">
        <f t="shared" ca="1" si="16"/>
        <v>0</v>
      </c>
      <c r="P82" s="82">
        <f t="shared" ca="1" si="10"/>
        <v>13.600000000000001</v>
      </c>
      <c r="Q82" s="82">
        <f t="shared" ca="1" si="17"/>
        <v>13.600000000000001</v>
      </c>
    </row>
    <row r="83" spans="9:17">
      <c r="I83" s="45">
        <v>75</v>
      </c>
      <c r="J83" s="45">
        <f t="shared" ca="1" si="11"/>
        <v>136</v>
      </c>
      <c r="K83" s="45">
        <f t="shared" ca="1" si="12"/>
        <v>52</v>
      </c>
      <c r="L83" s="45">
        <f t="shared" ca="1" si="14"/>
        <v>84</v>
      </c>
      <c r="M83" s="45">
        <f t="shared" ca="1" si="13"/>
        <v>1</v>
      </c>
      <c r="N83" s="45">
        <f t="shared" ca="1" si="15"/>
        <v>2</v>
      </c>
      <c r="O83" s="45">
        <f t="shared" ca="1" si="16"/>
        <v>400</v>
      </c>
      <c r="P83" s="82">
        <f t="shared" ca="1" si="10"/>
        <v>8.4</v>
      </c>
      <c r="Q83" s="82">
        <f t="shared" ca="1" si="17"/>
        <v>408.4</v>
      </c>
    </row>
    <row r="84" spans="9:17">
      <c r="I84" s="45">
        <v>76</v>
      </c>
      <c r="J84" s="45">
        <f t="shared" ca="1" si="11"/>
        <v>84</v>
      </c>
      <c r="K84" s="45">
        <f t="shared" ca="1" si="12"/>
        <v>51</v>
      </c>
      <c r="L84" s="45">
        <f t="shared" ca="1" si="14"/>
        <v>33</v>
      </c>
      <c r="M84" s="45">
        <f t="shared" ca="1" si="13"/>
        <v>0</v>
      </c>
      <c r="N84" s="45">
        <f t="shared" ca="1" si="15"/>
        <v>0</v>
      </c>
      <c r="O84" s="45">
        <f t="shared" ca="1" si="16"/>
        <v>0</v>
      </c>
      <c r="P84" s="82">
        <f t="shared" ca="1" si="10"/>
        <v>3.3000000000000003</v>
      </c>
      <c r="Q84" s="82">
        <f t="shared" ca="1" si="17"/>
        <v>3.3000000000000003</v>
      </c>
    </row>
    <row r="85" spans="9:17">
      <c r="I85" s="45">
        <v>77</v>
      </c>
      <c r="J85" s="45">
        <f t="shared" ca="1" si="11"/>
        <v>231</v>
      </c>
      <c r="K85" s="45">
        <f t="shared" ca="1" si="12"/>
        <v>53</v>
      </c>
      <c r="L85" s="45">
        <f t="shared" ca="1" si="14"/>
        <v>178</v>
      </c>
      <c r="M85" s="45">
        <f t="shared" ca="1" si="13"/>
        <v>0</v>
      </c>
      <c r="N85" s="45">
        <f t="shared" ca="1" si="15"/>
        <v>0</v>
      </c>
      <c r="O85" s="45">
        <f t="shared" ca="1" si="16"/>
        <v>0</v>
      </c>
      <c r="P85" s="82">
        <f t="shared" ca="1" si="10"/>
        <v>17.8</v>
      </c>
      <c r="Q85" s="82">
        <f t="shared" ca="1" si="17"/>
        <v>17.8</v>
      </c>
    </row>
    <row r="86" spans="9:17">
      <c r="I86" s="45">
        <v>78</v>
      </c>
      <c r="J86" s="45">
        <f t="shared" ca="1" si="11"/>
        <v>178</v>
      </c>
      <c r="K86" s="45">
        <f t="shared" ca="1" si="12"/>
        <v>51</v>
      </c>
      <c r="L86" s="45">
        <f t="shared" ca="1" si="14"/>
        <v>127</v>
      </c>
      <c r="M86" s="45">
        <f t="shared" ca="1" si="13"/>
        <v>0</v>
      </c>
      <c r="N86" s="45">
        <f t="shared" ca="1" si="15"/>
        <v>0</v>
      </c>
      <c r="O86" s="45">
        <f t="shared" ca="1" si="16"/>
        <v>0</v>
      </c>
      <c r="P86" s="82">
        <f t="shared" ca="1" si="10"/>
        <v>12.700000000000001</v>
      </c>
      <c r="Q86" s="82">
        <f t="shared" ca="1" si="17"/>
        <v>12.700000000000001</v>
      </c>
    </row>
    <row r="87" spans="9:17">
      <c r="I87" s="45">
        <v>79</v>
      </c>
      <c r="J87" s="45">
        <f t="shared" ca="1" si="11"/>
        <v>127</v>
      </c>
      <c r="K87" s="45">
        <f t="shared" ca="1" si="12"/>
        <v>55</v>
      </c>
      <c r="L87" s="45">
        <f t="shared" ca="1" si="14"/>
        <v>72</v>
      </c>
      <c r="M87" s="45">
        <f t="shared" ca="1" si="13"/>
        <v>1</v>
      </c>
      <c r="N87" s="45">
        <f t="shared" ca="1" si="15"/>
        <v>2</v>
      </c>
      <c r="O87" s="45">
        <f t="shared" ca="1" si="16"/>
        <v>400</v>
      </c>
      <c r="P87" s="82">
        <f t="shared" ca="1" si="10"/>
        <v>7.2</v>
      </c>
      <c r="Q87" s="82">
        <f t="shared" ca="1" si="17"/>
        <v>407.2</v>
      </c>
    </row>
    <row r="88" spans="9:17">
      <c r="I88" s="45">
        <v>80</v>
      </c>
      <c r="J88" s="45">
        <f t="shared" ca="1" si="11"/>
        <v>72</v>
      </c>
      <c r="K88" s="45">
        <f t="shared" ca="1" si="12"/>
        <v>53</v>
      </c>
      <c r="L88" s="45">
        <f t="shared" ca="1" si="14"/>
        <v>19</v>
      </c>
      <c r="M88" s="45">
        <f t="shared" ca="1" si="13"/>
        <v>0</v>
      </c>
      <c r="N88" s="45">
        <f t="shared" ca="1" si="15"/>
        <v>0</v>
      </c>
      <c r="O88" s="45">
        <f t="shared" ca="1" si="16"/>
        <v>0</v>
      </c>
      <c r="P88" s="82">
        <f t="shared" ca="1" si="10"/>
        <v>1.9000000000000001</v>
      </c>
      <c r="Q88" s="82">
        <f t="shared" ca="1" si="17"/>
        <v>1.9000000000000001</v>
      </c>
    </row>
    <row r="89" spans="9:17">
      <c r="I89" s="45">
        <v>81</v>
      </c>
      <c r="J89" s="45">
        <f t="shared" ca="1" si="11"/>
        <v>217</v>
      </c>
      <c r="K89" s="45">
        <f t="shared" ca="1" si="12"/>
        <v>53</v>
      </c>
      <c r="L89" s="45">
        <f t="shared" ca="1" si="14"/>
        <v>164</v>
      </c>
      <c r="M89" s="45">
        <f t="shared" ca="1" si="13"/>
        <v>0</v>
      </c>
      <c r="N89" s="45">
        <f t="shared" ca="1" si="15"/>
        <v>0</v>
      </c>
      <c r="O89" s="45">
        <f t="shared" ca="1" si="16"/>
        <v>0</v>
      </c>
      <c r="P89" s="82">
        <f t="shared" ca="1" si="10"/>
        <v>16.400000000000002</v>
      </c>
      <c r="Q89" s="82">
        <f t="shared" ca="1" si="17"/>
        <v>16.400000000000002</v>
      </c>
    </row>
    <row r="90" spans="9:17">
      <c r="I90" s="45">
        <v>82</v>
      </c>
      <c r="J90" s="45">
        <f t="shared" ca="1" si="11"/>
        <v>164</v>
      </c>
      <c r="K90" s="45">
        <f t="shared" ca="1" si="12"/>
        <v>55</v>
      </c>
      <c r="L90" s="45">
        <f t="shared" ca="1" si="14"/>
        <v>109</v>
      </c>
      <c r="M90" s="45">
        <f t="shared" ca="1" si="13"/>
        <v>0</v>
      </c>
      <c r="N90" s="45">
        <f t="shared" ca="1" si="15"/>
        <v>0</v>
      </c>
      <c r="O90" s="45">
        <f t="shared" ca="1" si="16"/>
        <v>0</v>
      </c>
      <c r="P90" s="82">
        <f t="shared" ca="1" si="10"/>
        <v>10.9</v>
      </c>
      <c r="Q90" s="82">
        <f t="shared" ca="1" si="17"/>
        <v>10.9</v>
      </c>
    </row>
    <row r="91" spans="9:17">
      <c r="I91" s="45">
        <v>83</v>
      </c>
      <c r="J91" s="45">
        <f t="shared" ca="1" si="11"/>
        <v>109</v>
      </c>
      <c r="K91" s="45">
        <f t="shared" ca="1" si="12"/>
        <v>52</v>
      </c>
      <c r="L91" s="45">
        <f t="shared" ca="1" si="14"/>
        <v>57</v>
      </c>
      <c r="M91" s="45">
        <f t="shared" ca="1" si="13"/>
        <v>1</v>
      </c>
      <c r="N91" s="45">
        <f t="shared" ca="1" si="15"/>
        <v>1</v>
      </c>
      <c r="O91" s="45">
        <f t="shared" ca="1" si="16"/>
        <v>400</v>
      </c>
      <c r="P91" s="82">
        <f t="shared" ca="1" si="10"/>
        <v>5.7</v>
      </c>
      <c r="Q91" s="82">
        <f t="shared" ca="1" si="17"/>
        <v>405.7</v>
      </c>
    </row>
    <row r="92" spans="9:17">
      <c r="I92" s="45">
        <v>84</v>
      </c>
      <c r="J92" s="45">
        <f t="shared" ca="1" si="11"/>
        <v>255</v>
      </c>
      <c r="K92" s="45">
        <f t="shared" ca="1" si="12"/>
        <v>52</v>
      </c>
      <c r="L92" s="45">
        <f t="shared" ca="1" si="14"/>
        <v>203</v>
      </c>
      <c r="M92" s="45">
        <f t="shared" ca="1" si="13"/>
        <v>0</v>
      </c>
      <c r="N92" s="45">
        <f t="shared" ca="1" si="15"/>
        <v>0</v>
      </c>
      <c r="O92" s="45">
        <f t="shared" ca="1" si="16"/>
        <v>0</v>
      </c>
      <c r="P92" s="82">
        <f t="shared" ca="1" si="10"/>
        <v>20.3</v>
      </c>
      <c r="Q92" s="82">
        <f t="shared" ca="1" si="17"/>
        <v>20.3</v>
      </c>
    </row>
    <row r="93" spans="9:17">
      <c r="I93" s="45">
        <v>85</v>
      </c>
      <c r="J93" s="45">
        <f t="shared" ca="1" si="11"/>
        <v>203</v>
      </c>
      <c r="K93" s="45">
        <f t="shared" ca="1" si="12"/>
        <v>52</v>
      </c>
      <c r="L93" s="45">
        <f t="shared" ca="1" si="14"/>
        <v>151</v>
      </c>
      <c r="M93" s="45">
        <f t="shared" ca="1" si="13"/>
        <v>0</v>
      </c>
      <c r="N93" s="45">
        <f t="shared" ca="1" si="15"/>
        <v>0</v>
      </c>
      <c r="O93" s="45">
        <f t="shared" ca="1" si="16"/>
        <v>0</v>
      </c>
      <c r="P93" s="82">
        <f t="shared" ca="1" si="10"/>
        <v>15.100000000000001</v>
      </c>
      <c r="Q93" s="82">
        <f t="shared" ca="1" si="17"/>
        <v>15.100000000000001</v>
      </c>
    </row>
    <row r="94" spans="9:17">
      <c r="I94" s="45">
        <v>86</v>
      </c>
      <c r="J94" s="45">
        <f t="shared" ca="1" si="11"/>
        <v>151</v>
      </c>
      <c r="K94" s="45">
        <f t="shared" ca="1" si="12"/>
        <v>54</v>
      </c>
      <c r="L94" s="45">
        <f t="shared" ca="1" si="14"/>
        <v>97</v>
      </c>
      <c r="M94" s="45">
        <f t="shared" ca="1" si="13"/>
        <v>1</v>
      </c>
      <c r="N94" s="45">
        <f t="shared" ca="1" si="15"/>
        <v>1</v>
      </c>
      <c r="O94" s="45">
        <f t="shared" ca="1" si="16"/>
        <v>400</v>
      </c>
      <c r="P94" s="82">
        <f t="shared" ca="1" si="10"/>
        <v>9.7000000000000011</v>
      </c>
      <c r="Q94" s="82">
        <f t="shared" ca="1" si="17"/>
        <v>409.7</v>
      </c>
    </row>
    <row r="95" spans="9:17">
      <c r="I95" s="45">
        <v>87</v>
      </c>
      <c r="J95" s="45">
        <f t="shared" ca="1" si="11"/>
        <v>295</v>
      </c>
      <c r="K95" s="45">
        <f t="shared" ca="1" si="12"/>
        <v>54</v>
      </c>
      <c r="L95" s="45">
        <f t="shared" ca="1" si="14"/>
        <v>241</v>
      </c>
      <c r="M95" s="45">
        <f t="shared" ca="1" si="13"/>
        <v>0</v>
      </c>
      <c r="N95" s="45">
        <f t="shared" ca="1" si="15"/>
        <v>0</v>
      </c>
      <c r="O95" s="45">
        <f t="shared" ca="1" si="16"/>
        <v>0</v>
      </c>
      <c r="P95" s="82">
        <f t="shared" ca="1" si="10"/>
        <v>24.1</v>
      </c>
      <c r="Q95" s="82">
        <f t="shared" ca="1" si="17"/>
        <v>24.1</v>
      </c>
    </row>
    <row r="96" spans="9:17">
      <c r="I96" s="45">
        <v>88</v>
      </c>
      <c r="J96" s="45">
        <f t="shared" ca="1" si="11"/>
        <v>241</v>
      </c>
      <c r="K96" s="45">
        <f t="shared" ca="1" si="12"/>
        <v>52</v>
      </c>
      <c r="L96" s="45">
        <f t="shared" ca="1" si="14"/>
        <v>189</v>
      </c>
      <c r="M96" s="45">
        <f t="shared" ca="1" si="13"/>
        <v>0</v>
      </c>
      <c r="N96" s="45">
        <f t="shared" ca="1" si="15"/>
        <v>0</v>
      </c>
      <c r="O96" s="45">
        <f t="shared" ca="1" si="16"/>
        <v>0</v>
      </c>
      <c r="P96" s="82">
        <f t="shared" ca="1" si="10"/>
        <v>18.900000000000002</v>
      </c>
      <c r="Q96" s="82">
        <f t="shared" ca="1" si="17"/>
        <v>18.900000000000002</v>
      </c>
    </row>
    <row r="97" spans="9:17">
      <c r="I97" s="45">
        <v>89</v>
      </c>
      <c r="J97" s="45">
        <f t="shared" ca="1" si="11"/>
        <v>189</v>
      </c>
      <c r="K97" s="45">
        <f t="shared" ca="1" si="12"/>
        <v>54</v>
      </c>
      <c r="L97" s="45">
        <f t="shared" ca="1" si="14"/>
        <v>135</v>
      </c>
      <c r="M97" s="45">
        <f t="shared" ca="1" si="13"/>
        <v>0</v>
      </c>
      <c r="N97" s="45">
        <f t="shared" ca="1" si="15"/>
        <v>0</v>
      </c>
      <c r="O97" s="45">
        <f t="shared" ca="1" si="16"/>
        <v>0</v>
      </c>
      <c r="P97" s="82">
        <f t="shared" ca="1" si="10"/>
        <v>13.5</v>
      </c>
      <c r="Q97" s="82">
        <f t="shared" ca="1" si="17"/>
        <v>13.5</v>
      </c>
    </row>
    <row r="98" spans="9:17">
      <c r="I98" s="45">
        <v>90</v>
      </c>
      <c r="J98" s="45">
        <f t="shared" ca="1" si="11"/>
        <v>135</v>
      </c>
      <c r="K98" s="45">
        <f t="shared" ca="1" si="12"/>
        <v>55</v>
      </c>
      <c r="L98" s="45">
        <f t="shared" ca="1" si="14"/>
        <v>80</v>
      </c>
      <c r="M98" s="45">
        <f t="shared" ca="1" si="13"/>
        <v>1</v>
      </c>
      <c r="N98" s="45">
        <f t="shared" ca="1" si="15"/>
        <v>1</v>
      </c>
      <c r="O98" s="45">
        <f t="shared" ca="1" si="16"/>
        <v>400</v>
      </c>
      <c r="P98" s="82">
        <f t="shared" ca="1" si="10"/>
        <v>8</v>
      </c>
      <c r="Q98" s="82">
        <f t="shared" ca="1" si="17"/>
        <v>408</v>
      </c>
    </row>
    <row r="99" spans="9:17">
      <c r="I99" s="45">
        <v>91</v>
      </c>
      <c r="J99" s="45">
        <f t="shared" ca="1" si="11"/>
        <v>278</v>
      </c>
      <c r="K99" s="45">
        <f t="shared" ca="1" si="12"/>
        <v>52</v>
      </c>
      <c r="L99" s="45">
        <f t="shared" ca="1" si="14"/>
        <v>226</v>
      </c>
      <c r="M99" s="45">
        <f t="shared" ca="1" si="13"/>
        <v>0</v>
      </c>
      <c r="N99" s="45">
        <f t="shared" ca="1" si="15"/>
        <v>0</v>
      </c>
      <c r="O99" s="45">
        <f t="shared" ca="1" si="16"/>
        <v>0</v>
      </c>
      <c r="P99" s="82">
        <f t="shared" ca="1" si="10"/>
        <v>22.6</v>
      </c>
      <c r="Q99" s="82">
        <f t="shared" ca="1" si="17"/>
        <v>22.6</v>
      </c>
    </row>
    <row r="100" spans="9:17">
      <c r="I100" s="45">
        <v>92</v>
      </c>
      <c r="J100" s="45">
        <f t="shared" ca="1" si="11"/>
        <v>226</v>
      </c>
      <c r="K100" s="45">
        <f t="shared" ca="1" si="12"/>
        <v>53</v>
      </c>
      <c r="L100" s="45">
        <f t="shared" ca="1" si="14"/>
        <v>173</v>
      </c>
      <c r="M100" s="45">
        <f t="shared" ca="1" si="13"/>
        <v>0</v>
      </c>
      <c r="N100" s="45">
        <f t="shared" ca="1" si="15"/>
        <v>0</v>
      </c>
      <c r="O100" s="45">
        <f t="shared" ca="1" si="16"/>
        <v>0</v>
      </c>
      <c r="P100" s="82">
        <f t="shared" ca="1" si="10"/>
        <v>17.3</v>
      </c>
      <c r="Q100" s="82">
        <f t="shared" ca="1" si="17"/>
        <v>17.3</v>
      </c>
    </row>
    <row r="101" spans="9:17">
      <c r="I101" s="45">
        <v>93</v>
      </c>
      <c r="J101" s="45">
        <f t="shared" ca="1" si="11"/>
        <v>173</v>
      </c>
      <c r="K101" s="45">
        <f t="shared" ca="1" si="12"/>
        <v>54</v>
      </c>
      <c r="L101" s="45">
        <f t="shared" ca="1" si="14"/>
        <v>119</v>
      </c>
      <c r="M101" s="45">
        <f t="shared" ca="1" si="13"/>
        <v>0</v>
      </c>
      <c r="N101" s="45">
        <f t="shared" ca="1" si="15"/>
        <v>0</v>
      </c>
      <c r="O101" s="45">
        <f t="shared" ca="1" si="16"/>
        <v>0</v>
      </c>
      <c r="P101" s="82">
        <f t="shared" ca="1" si="10"/>
        <v>11.9</v>
      </c>
      <c r="Q101" s="82">
        <f t="shared" ca="1" si="17"/>
        <v>11.9</v>
      </c>
    </row>
    <row r="102" spans="9:17">
      <c r="I102" s="45">
        <v>94</v>
      </c>
      <c r="J102" s="45">
        <f t="shared" ca="1" si="11"/>
        <v>119</v>
      </c>
      <c r="K102" s="45">
        <f t="shared" ca="1" si="12"/>
        <v>51</v>
      </c>
      <c r="L102" s="45">
        <f t="shared" ca="1" si="14"/>
        <v>68</v>
      </c>
      <c r="M102" s="45">
        <f t="shared" ca="1" si="13"/>
        <v>1</v>
      </c>
      <c r="N102" s="45">
        <f t="shared" ca="1" si="15"/>
        <v>2</v>
      </c>
      <c r="O102" s="45">
        <f t="shared" ca="1" si="16"/>
        <v>400</v>
      </c>
      <c r="P102" s="82">
        <f t="shared" ca="1" si="10"/>
        <v>6.8000000000000007</v>
      </c>
      <c r="Q102" s="82">
        <f t="shared" ca="1" si="17"/>
        <v>406.8</v>
      </c>
    </row>
    <row r="103" spans="9:17">
      <c r="I103" s="45">
        <v>95</v>
      </c>
      <c r="J103" s="45">
        <f t="shared" ca="1" si="11"/>
        <v>68</v>
      </c>
      <c r="K103" s="45">
        <f t="shared" ca="1" si="12"/>
        <v>53</v>
      </c>
      <c r="L103" s="45">
        <f t="shared" ca="1" si="14"/>
        <v>15</v>
      </c>
      <c r="M103" s="45">
        <f t="shared" ca="1" si="13"/>
        <v>0</v>
      </c>
      <c r="N103" s="45">
        <f t="shared" ca="1" si="15"/>
        <v>0</v>
      </c>
      <c r="O103" s="45">
        <f t="shared" ca="1" si="16"/>
        <v>0</v>
      </c>
      <c r="P103" s="82">
        <f t="shared" ca="1" si="10"/>
        <v>1.5</v>
      </c>
      <c r="Q103" s="82">
        <f t="shared" ca="1" si="17"/>
        <v>1.5</v>
      </c>
    </row>
    <row r="104" spans="9:17">
      <c r="I104" s="45">
        <v>96</v>
      </c>
      <c r="J104" s="45">
        <f t="shared" ca="1" si="11"/>
        <v>213</v>
      </c>
      <c r="K104" s="45">
        <f t="shared" ca="1" si="12"/>
        <v>55</v>
      </c>
      <c r="L104" s="45">
        <f t="shared" ca="1" si="14"/>
        <v>158</v>
      </c>
      <c r="M104" s="45">
        <f t="shared" ca="1" si="13"/>
        <v>0</v>
      </c>
      <c r="N104" s="45">
        <f t="shared" ca="1" si="15"/>
        <v>0</v>
      </c>
      <c r="O104" s="45">
        <f t="shared" ca="1" si="16"/>
        <v>0</v>
      </c>
      <c r="P104" s="82">
        <f t="shared" ca="1" si="10"/>
        <v>15.8</v>
      </c>
      <c r="Q104" s="82">
        <f t="shared" ca="1" si="17"/>
        <v>15.8</v>
      </c>
    </row>
    <row r="105" spans="9:17">
      <c r="I105" s="45">
        <v>97</v>
      </c>
      <c r="J105" s="45">
        <f t="shared" ca="1" si="11"/>
        <v>158</v>
      </c>
      <c r="K105" s="45">
        <f t="shared" ca="1" si="12"/>
        <v>52</v>
      </c>
      <c r="L105" s="45">
        <f t="shared" ca="1" si="14"/>
        <v>106</v>
      </c>
      <c r="M105" s="45">
        <f t="shared" ca="1" si="13"/>
        <v>0</v>
      </c>
      <c r="N105" s="45">
        <f t="shared" ca="1" si="15"/>
        <v>0</v>
      </c>
      <c r="O105" s="45">
        <f t="shared" ca="1" si="16"/>
        <v>0</v>
      </c>
      <c r="P105" s="82">
        <f t="shared" ca="1" si="10"/>
        <v>10.600000000000001</v>
      </c>
      <c r="Q105" s="82">
        <f t="shared" ca="1" si="17"/>
        <v>10.600000000000001</v>
      </c>
    </row>
    <row r="106" spans="9:17">
      <c r="I106" s="45">
        <v>98</v>
      </c>
      <c r="J106" s="45">
        <f t="shared" ca="1" si="11"/>
        <v>106</v>
      </c>
      <c r="K106" s="45">
        <f t="shared" ca="1" si="12"/>
        <v>52</v>
      </c>
      <c r="L106" s="45">
        <f t="shared" ca="1" si="14"/>
        <v>54</v>
      </c>
      <c r="M106" s="45">
        <f t="shared" ca="1" si="13"/>
        <v>1</v>
      </c>
      <c r="N106" s="45">
        <f t="shared" ca="1" si="15"/>
        <v>2</v>
      </c>
      <c r="O106" s="45">
        <f t="shared" ca="1" si="16"/>
        <v>400</v>
      </c>
      <c r="P106" s="82">
        <f t="shared" ca="1" si="10"/>
        <v>5.4</v>
      </c>
      <c r="Q106" s="82">
        <f t="shared" ca="1" si="17"/>
        <v>405.4</v>
      </c>
    </row>
    <row r="107" spans="9:17">
      <c r="I107" s="45">
        <v>99</v>
      </c>
      <c r="J107" s="45">
        <f t="shared" ca="1" si="11"/>
        <v>54</v>
      </c>
      <c r="K107" s="45">
        <f t="shared" ca="1" si="12"/>
        <v>53</v>
      </c>
      <c r="L107" s="45">
        <f t="shared" ca="1" si="14"/>
        <v>1</v>
      </c>
      <c r="M107" s="45">
        <f t="shared" ca="1" si="13"/>
        <v>0</v>
      </c>
      <c r="N107" s="45">
        <f t="shared" ca="1" si="15"/>
        <v>0</v>
      </c>
      <c r="O107" s="45">
        <f t="shared" ca="1" si="16"/>
        <v>0</v>
      </c>
      <c r="P107" s="82">
        <f t="shared" ca="1" si="10"/>
        <v>0.1</v>
      </c>
      <c r="Q107" s="82">
        <f t="shared" ca="1" si="17"/>
        <v>0.1</v>
      </c>
    </row>
    <row r="108" spans="9:17">
      <c r="I108" s="45">
        <v>100</v>
      </c>
      <c r="J108" s="45">
        <f t="shared" ca="1" si="11"/>
        <v>199</v>
      </c>
      <c r="K108" s="45">
        <f t="shared" ca="1" si="12"/>
        <v>52</v>
      </c>
      <c r="L108" s="45">
        <f t="shared" ca="1" si="14"/>
        <v>147</v>
      </c>
      <c r="M108" s="45">
        <f t="shared" ca="1" si="13"/>
        <v>0</v>
      </c>
      <c r="N108" s="45">
        <f t="shared" ca="1" si="15"/>
        <v>0</v>
      </c>
      <c r="O108" s="45">
        <f t="shared" ca="1" si="16"/>
        <v>0</v>
      </c>
      <c r="P108" s="82">
        <f t="shared" ca="1" si="10"/>
        <v>14.700000000000001</v>
      </c>
      <c r="Q108" s="82">
        <f t="shared" ca="1" si="17"/>
        <v>14.700000000000001</v>
      </c>
    </row>
    <row r="109" spans="9:17">
      <c r="I109" s="45">
        <v>101</v>
      </c>
      <c r="J109" s="45">
        <f t="shared" ca="1" si="11"/>
        <v>147</v>
      </c>
      <c r="K109" s="45">
        <f t="shared" ca="1" si="12"/>
        <v>51</v>
      </c>
      <c r="L109" s="45">
        <f t="shared" ca="1" si="14"/>
        <v>96</v>
      </c>
      <c r="M109" s="45">
        <f t="shared" ca="1" si="13"/>
        <v>1</v>
      </c>
      <c r="N109" s="45">
        <f t="shared" ca="1" si="15"/>
        <v>2</v>
      </c>
      <c r="O109" s="45">
        <f t="shared" ca="1" si="16"/>
        <v>400</v>
      </c>
      <c r="P109" s="82">
        <f t="shared" ca="1" si="10"/>
        <v>9.6000000000000014</v>
      </c>
      <c r="Q109" s="82">
        <f t="shared" ca="1" si="17"/>
        <v>409.6</v>
      </c>
    </row>
    <row r="110" spans="9:17">
      <c r="I110" s="45">
        <v>102</v>
      </c>
      <c r="J110" s="45">
        <f t="shared" ca="1" si="11"/>
        <v>96</v>
      </c>
      <c r="K110" s="45">
        <f t="shared" ca="1" si="12"/>
        <v>52</v>
      </c>
      <c r="L110" s="45">
        <f t="shared" ca="1" si="14"/>
        <v>44</v>
      </c>
      <c r="M110" s="45">
        <f t="shared" ca="1" si="13"/>
        <v>0</v>
      </c>
      <c r="N110" s="45">
        <f t="shared" ca="1" si="15"/>
        <v>0</v>
      </c>
      <c r="O110" s="45">
        <f t="shared" ca="1" si="16"/>
        <v>0</v>
      </c>
      <c r="P110" s="82">
        <f t="shared" ca="1" si="10"/>
        <v>4.4000000000000004</v>
      </c>
      <c r="Q110" s="82">
        <f t="shared" ca="1" si="17"/>
        <v>4.4000000000000004</v>
      </c>
    </row>
    <row r="111" spans="9:17">
      <c r="I111" s="45">
        <v>103</v>
      </c>
      <c r="J111" s="45">
        <f t="shared" ca="1" si="11"/>
        <v>242</v>
      </c>
      <c r="K111" s="45">
        <f t="shared" ca="1" si="12"/>
        <v>54</v>
      </c>
      <c r="L111" s="45">
        <f t="shared" ca="1" si="14"/>
        <v>188</v>
      </c>
      <c r="M111" s="45">
        <f t="shared" ca="1" si="13"/>
        <v>0</v>
      </c>
      <c r="N111" s="45">
        <f t="shared" ca="1" si="15"/>
        <v>0</v>
      </c>
      <c r="O111" s="45">
        <f t="shared" ca="1" si="16"/>
        <v>0</v>
      </c>
      <c r="P111" s="82">
        <f t="shared" ca="1" si="10"/>
        <v>18.8</v>
      </c>
      <c r="Q111" s="82">
        <f t="shared" ca="1" si="17"/>
        <v>18.8</v>
      </c>
    </row>
    <row r="112" spans="9:17">
      <c r="I112" s="45">
        <v>104</v>
      </c>
      <c r="J112" s="45">
        <f t="shared" ca="1" si="11"/>
        <v>188</v>
      </c>
      <c r="K112" s="45">
        <f t="shared" ca="1" si="12"/>
        <v>50</v>
      </c>
      <c r="L112" s="45">
        <f t="shared" ca="1" si="14"/>
        <v>138</v>
      </c>
      <c r="M112" s="45">
        <f t="shared" ca="1" si="13"/>
        <v>0</v>
      </c>
      <c r="N112" s="45">
        <f t="shared" ca="1" si="15"/>
        <v>0</v>
      </c>
      <c r="O112" s="45">
        <f t="shared" ca="1" si="16"/>
        <v>0</v>
      </c>
      <c r="P112" s="82">
        <f t="shared" ca="1" si="10"/>
        <v>13.8</v>
      </c>
      <c r="Q112" s="82">
        <f t="shared" ca="1" si="17"/>
        <v>13.8</v>
      </c>
    </row>
    <row r="113" spans="9:17">
      <c r="I113" s="45">
        <v>105</v>
      </c>
      <c r="J113" s="45">
        <f t="shared" ca="1" si="11"/>
        <v>138</v>
      </c>
      <c r="K113" s="45">
        <f t="shared" ca="1" si="12"/>
        <v>52</v>
      </c>
      <c r="L113" s="45">
        <f t="shared" ca="1" si="14"/>
        <v>86</v>
      </c>
      <c r="M113" s="45">
        <f t="shared" ca="1" si="13"/>
        <v>1</v>
      </c>
      <c r="N113" s="45">
        <f t="shared" ca="1" si="15"/>
        <v>1</v>
      </c>
      <c r="O113" s="45">
        <f t="shared" ca="1" si="16"/>
        <v>400</v>
      </c>
      <c r="P113" s="82">
        <f t="shared" ca="1" si="10"/>
        <v>8.6</v>
      </c>
      <c r="Q113" s="82">
        <f t="shared" ca="1" si="17"/>
        <v>408.6</v>
      </c>
    </row>
    <row r="114" spans="9:17">
      <c r="I114" s="45">
        <v>106</v>
      </c>
      <c r="J114" s="45">
        <f t="shared" ca="1" si="11"/>
        <v>284</v>
      </c>
      <c r="K114" s="45">
        <f t="shared" ca="1" si="12"/>
        <v>54</v>
      </c>
      <c r="L114" s="45">
        <f t="shared" ca="1" si="14"/>
        <v>230</v>
      </c>
      <c r="M114" s="45">
        <f t="shared" ca="1" si="13"/>
        <v>0</v>
      </c>
      <c r="N114" s="45">
        <f t="shared" ca="1" si="15"/>
        <v>0</v>
      </c>
      <c r="O114" s="45">
        <f t="shared" ca="1" si="16"/>
        <v>0</v>
      </c>
      <c r="P114" s="82">
        <f t="shared" ca="1" si="10"/>
        <v>23</v>
      </c>
      <c r="Q114" s="82">
        <f t="shared" ca="1" si="17"/>
        <v>23</v>
      </c>
    </row>
    <row r="115" spans="9:17">
      <c r="I115" s="45">
        <v>107</v>
      </c>
      <c r="J115" s="45">
        <f t="shared" ca="1" si="11"/>
        <v>230</v>
      </c>
      <c r="K115" s="45">
        <f t="shared" ca="1" si="12"/>
        <v>53</v>
      </c>
      <c r="L115" s="45">
        <f t="shared" ca="1" si="14"/>
        <v>177</v>
      </c>
      <c r="M115" s="45">
        <f t="shared" ca="1" si="13"/>
        <v>0</v>
      </c>
      <c r="N115" s="45">
        <f t="shared" ca="1" si="15"/>
        <v>0</v>
      </c>
      <c r="O115" s="45">
        <f t="shared" ca="1" si="16"/>
        <v>0</v>
      </c>
      <c r="P115" s="82">
        <f t="shared" ca="1" si="10"/>
        <v>17.7</v>
      </c>
      <c r="Q115" s="82">
        <f t="shared" ca="1" si="17"/>
        <v>17.7</v>
      </c>
    </row>
    <row r="116" spans="9:17">
      <c r="I116" s="45">
        <v>108</v>
      </c>
      <c r="J116" s="45">
        <f t="shared" ca="1" si="11"/>
        <v>177</v>
      </c>
      <c r="K116" s="45">
        <f t="shared" ca="1" si="12"/>
        <v>55</v>
      </c>
      <c r="L116" s="45">
        <f t="shared" ca="1" si="14"/>
        <v>122</v>
      </c>
      <c r="M116" s="45">
        <f t="shared" ca="1" si="13"/>
        <v>0</v>
      </c>
      <c r="N116" s="45">
        <f t="shared" ca="1" si="15"/>
        <v>0</v>
      </c>
      <c r="O116" s="45">
        <f t="shared" ca="1" si="16"/>
        <v>0</v>
      </c>
      <c r="P116" s="82">
        <f t="shared" ca="1" si="10"/>
        <v>12.200000000000001</v>
      </c>
      <c r="Q116" s="82">
        <f t="shared" ca="1" si="17"/>
        <v>12.200000000000001</v>
      </c>
    </row>
    <row r="117" spans="9:17">
      <c r="I117" s="45">
        <v>109</v>
      </c>
      <c r="J117" s="45">
        <f t="shared" ca="1" si="11"/>
        <v>122</v>
      </c>
      <c r="K117" s="45">
        <f t="shared" ca="1" si="12"/>
        <v>50</v>
      </c>
      <c r="L117" s="45">
        <f t="shared" ca="1" si="14"/>
        <v>72</v>
      </c>
      <c r="M117" s="45">
        <f t="shared" ca="1" si="13"/>
        <v>1</v>
      </c>
      <c r="N117" s="45">
        <f t="shared" ca="1" si="15"/>
        <v>2</v>
      </c>
      <c r="O117" s="45">
        <f t="shared" ca="1" si="16"/>
        <v>400</v>
      </c>
      <c r="P117" s="82">
        <f t="shared" ca="1" si="10"/>
        <v>7.2</v>
      </c>
      <c r="Q117" s="82">
        <f t="shared" ca="1" si="17"/>
        <v>407.2</v>
      </c>
    </row>
    <row r="118" spans="9:17">
      <c r="I118" s="45">
        <v>110</v>
      </c>
      <c r="J118" s="45">
        <f t="shared" ca="1" si="11"/>
        <v>72</v>
      </c>
      <c r="K118" s="45">
        <f t="shared" ca="1" si="12"/>
        <v>54</v>
      </c>
      <c r="L118" s="45">
        <f t="shared" ca="1" si="14"/>
        <v>18</v>
      </c>
      <c r="M118" s="45">
        <f t="shared" ca="1" si="13"/>
        <v>0</v>
      </c>
      <c r="N118" s="45">
        <f t="shared" ca="1" si="15"/>
        <v>0</v>
      </c>
      <c r="O118" s="45">
        <f t="shared" ca="1" si="16"/>
        <v>0</v>
      </c>
      <c r="P118" s="82">
        <f t="shared" ca="1" si="10"/>
        <v>1.8</v>
      </c>
      <c r="Q118" s="82">
        <f t="shared" ca="1" si="17"/>
        <v>1.8</v>
      </c>
    </row>
    <row r="119" spans="9:17">
      <c r="I119" s="45">
        <v>111</v>
      </c>
      <c r="J119" s="45">
        <f t="shared" ca="1" si="11"/>
        <v>216</v>
      </c>
      <c r="K119" s="45">
        <f t="shared" ca="1" si="12"/>
        <v>51</v>
      </c>
      <c r="L119" s="45">
        <f t="shared" ca="1" si="14"/>
        <v>165</v>
      </c>
      <c r="M119" s="45">
        <f t="shared" ca="1" si="13"/>
        <v>0</v>
      </c>
      <c r="N119" s="45">
        <f t="shared" ca="1" si="15"/>
        <v>0</v>
      </c>
      <c r="O119" s="45">
        <f t="shared" ca="1" si="16"/>
        <v>0</v>
      </c>
      <c r="P119" s="82">
        <f t="shared" ca="1" si="10"/>
        <v>16.5</v>
      </c>
      <c r="Q119" s="82">
        <f t="shared" ca="1" si="17"/>
        <v>16.5</v>
      </c>
    </row>
    <row r="120" spans="9:17">
      <c r="I120" s="45">
        <v>112</v>
      </c>
      <c r="J120" s="45">
        <f t="shared" ca="1" si="11"/>
        <v>165</v>
      </c>
      <c r="K120" s="45">
        <f t="shared" ca="1" si="12"/>
        <v>50</v>
      </c>
      <c r="L120" s="45">
        <f t="shared" ca="1" si="14"/>
        <v>115</v>
      </c>
      <c r="M120" s="45">
        <f t="shared" ca="1" si="13"/>
        <v>0</v>
      </c>
      <c r="N120" s="45">
        <f t="shared" ca="1" si="15"/>
        <v>0</v>
      </c>
      <c r="O120" s="45">
        <f t="shared" ca="1" si="16"/>
        <v>0</v>
      </c>
      <c r="P120" s="82">
        <f t="shared" ca="1" si="10"/>
        <v>11.5</v>
      </c>
      <c r="Q120" s="82">
        <f t="shared" ca="1" si="17"/>
        <v>11.5</v>
      </c>
    </row>
    <row r="121" spans="9:17">
      <c r="I121" s="45">
        <v>113</v>
      </c>
      <c r="J121" s="45">
        <f t="shared" ca="1" si="11"/>
        <v>115</v>
      </c>
      <c r="K121" s="45">
        <f t="shared" ca="1" si="12"/>
        <v>55</v>
      </c>
      <c r="L121" s="45">
        <f t="shared" ca="1" si="14"/>
        <v>60</v>
      </c>
      <c r="M121" s="45">
        <f t="shared" ca="1" si="13"/>
        <v>1</v>
      </c>
      <c r="N121" s="45">
        <f t="shared" ca="1" si="15"/>
        <v>2</v>
      </c>
      <c r="O121" s="45">
        <f t="shared" ca="1" si="16"/>
        <v>400</v>
      </c>
      <c r="P121" s="82">
        <f t="shared" ca="1" si="10"/>
        <v>6</v>
      </c>
      <c r="Q121" s="82">
        <f t="shared" ca="1" si="17"/>
        <v>406</v>
      </c>
    </row>
    <row r="122" spans="9:17">
      <c r="I122" s="45">
        <v>114</v>
      </c>
      <c r="J122" s="45">
        <f t="shared" ca="1" si="11"/>
        <v>60</v>
      </c>
      <c r="K122" s="45">
        <f t="shared" ca="1" si="12"/>
        <v>53</v>
      </c>
      <c r="L122" s="45">
        <f t="shared" ca="1" si="14"/>
        <v>7</v>
      </c>
      <c r="M122" s="45">
        <f t="shared" ca="1" si="13"/>
        <v>0</v>
      </c>
      <c r="N122" s="45">
        <f t="shared" ca="1" si="15"/>
        <v>0</v>
      </c>
      <c r="O122" s="45">
        <f t="shared" ca="1" si="16"/>
        <v>0</v>
      </c>
      <c r="P122" s="82">
        <f t="shared" ca="1" si="10"/>
        <v>0.70000000000000007</v>
      </c>
      <c r="Q122" s="82">
        <f t="shared" ca="1" si="17"/>
        <v>0.70000000000000007</v>
      </c>
    </row>
    <row r="123" spans="9:17">
      <c r="I123" s="45">
        <v>115</v>
      </c>
      <c r="J123" s="45">
        <f t="shared" ca="1" si="11"/>
        <v>205</v>
      </c>
      <c r="K123" s="45">
        <f t="shared" ca="1" si="12"/>
        <v>55</v>
      </c>
      <c r="L123" s="45">
        <f t="shared" ca="1" si="14"/>
        <v>150</v>
      </c>
      <c r="M123" s="45">
        <f t="shared" ca="1" si="13"/>
        <v>0</v>
      </c>
      <c r="N123" s="45">
        <f t="shared" ca="1" si="15"/>
        <v>0</v>
      </c>
      <c r="O123" s="45">
        <f t="shared" ca="1" si="16"/>
        <v>0</v>
      </c>
      <c r="P123" s="82">
        <f t="shared" ca="1" si="10"/>
        <v>15</v>
      </c>
      <c r="Q123" s="82">
        <f t="shared" ca="1" si="17"/>
        <v>15</v>
      </c>
    </row>
    <row r="124" spans="9:17">
      <c r="I124" s="45">
        <v>116</v>
      </c>
      <c r="J124" s="45">
        <f t="shared" ca="1" si="11"/>
        <v>150</v>
      </c>
      <c r="K124" s="45">
        <f t="shared" ca="1" si="12"/>
        <v>53</v>
      </c>
      <c r="L124" s="45">
        <f t="shared" ca="1" si="14"/>
        <v>97</v>
      </c>
      <c r="M124" s="45">
        <f t="shared" ca="1" si="13"/>
        <v>1</v>
      </c>
      <c r="N124" s="45">
        <f t="shared" ca="1" si="15"/>
        <v>2</v>
      </c>
      <c r="O124" s="45">
        <f t="shared" ca="1" si="16"/>
        <v>400</v>
      </c>
      <c r="P124" s="82">
        <f t="shared" ca="1" si="10"/>
        <v>9.7000000000000011</v>
      </c>
      <c r="Q124" s="82">
        <f t="shared" ca="1" si="17"/>
        <v>409.7</v>
      </c>
    </row>
    <row r="125" spans="9:17">
      <c r="I125" s="45">
        <v>117</v>
      </c>
      <c r="J125" s="45">
        <f t="shared" ca="1" si="11"/>
        <v>97</v>
      </c>
      <c r="K125" s="45">
        <f t="shared" ca="1" si="12"/>
        <v>53</v>
      </c>
      <c r="L125" s="45">
        <f t="shared" ca="1" si="14"/>
        <v>44</v>
      </c>
      <c r="M125" s="45">
        <f t="shared" ca="1" si="13"/>
        <v>0</v>
      </c>
      <c r="N125" s="45">
        <f t="shared" ca="1" si="15"/>
        <v>0</v>
      </c>
      <c r="O125" s="45">
        <f t="shared" ca="1" si="16"/>
        <v>0</v>
      </c>
      <c r="P125" s="82">
        <f t="shared" ca="1" si="10"/>
        <v>4.4000000000000004</v>
      </c>
      <c r="Q125" s="82">
        <f t="shared" ca="1" si="17"/>
        <v>4.4000000000000004</v>
      </c>
    </row>
    <row r="126" spans="9:17">
      <c r="I126" s="45">
        <v>118</v>
      </c>
      <c r="J126" s="45">
        <f t="shared" ca="1" si="11"/>
        <v>242</v>
      </c>
      <c r="K126" s="45">
        <f t="shared" ca="1" si="12"/>
        <v>53</v>
      </c>
      <c r="L126" s="45">
        <f t="shared" ca="1" si="14"/>
        <v>189</v>
      </c>
      <c r="M126" s="45">
        <f t="shared" ca="1" si="13"/>
        <v>0</v>
      </c>
      <c r="N126" s="45">
        <f t="shared" ca="1" si="15"/>
        <v>0</v>
      </c>
      <c r="O126" s="45">
        <f t="shared" ca="1" si="16"/>
        <v>0</v>
      </c>
      <c r="P126" s="82">
        <f t="shared" ca="1" si="10"/>
        <v>18.900000000000002</v>
      </c>
      <c r="Q126" s="82">
        <f t="shared" ca="1" si="17"/>
        <v>18.900000000000002</v>
      </c>
    </row>
    <row r="127" spans="9:17">
      <c r="I127" s="45">
        <v>119</v>
      </c>
      <c r="J127" s="45">
        <f t="shared" ca="1" si="11"/>
        <v>189</v>
      </c>
      <c r="K127" s="45">
        <f t="shared" ca="1" si="12"/>
        <v>55</v>
      </c>
      <c r="L127" s="45">
        <f t="shared" ca="1" si="14"/>
        <v>134</v>
      </c>
      <c r="M127" s="45">
        <f t="shared" ca="1" si="13"/>
        <v>0</v>
      </c>
      <c r="N127" s="45">
        <f t="shared" ca="1" si="15"/>
        <v>0</v>
      </c>
      <c r="O127" s="45">
        <f t="shared" ca="1" si="16"/>
        <v>0</v>
      </c>
      <c r="P127" s="82">
        <f t="shared" ca="1" si="10"/>
        <v>13.4</v>
      </c>
      <c r="Q127" s="82">
        <f t="shared" ca="1" si="17"/>
        <v>13.4</v>
      </c>
    </row>
    <row r="128" spans="9:17">
      <c r="I128" s="45">
        <v>120</v>
      </c>
      <c r="J128" s="45">
        <f t="shared" ca="1" si="11"/>
        <v>134</v>
      </c>
      <c r="K128" s="45">
        <f t="shared" ca="1" si="12"/>
        <v>52</v>
      </c>
      <c r="L128" s="45">
        <f t="shared" ca="1" si="14"/>
        <v>82</v>
      </c>
      <c r="M128" s="45">
        <f t="shared" ca="1" si="13"/>
        <v>1</v>
      </c>
      <c r="N128" s="45">
        <f t="shared" ca="1" si="15"/>
        <v>1</v>
      </c>
      <c r="O128" s="45">
        <f t="shared" ca="1" si="16"/>
        <v>400</v>
      </c>
      <c r="P128" s="82">
        <f t="shared" ca="1" si="10"/>
        <v>8.2000000000000011</v>
      </c>
      <c r="Q128" s="82">
        <f t="shared" ca="1" si="17"/>
        <v>408.2</v>
      </c>
    </row>
    <row r="129" spans="9:17">
      <c r="I129" s="45">
        <v>121</v>
      </c>
      <c r="J129" s="45">
        <f t="shared" ca="1" si="11"/>
        <v>280</v>
      </c>
      <c r="K129" s="45">
        <f t="shared" ca="1" si="12"/>
        <v>53</v>
      </c>
      <c r="L129" s="45">
        <f t="shared" ca="1" si="14"/>
        <v>227</v>
      </c>
      <c r="M129" s="45">
        <f t="shared" ca="1" si="13"/>
        <v>0</v>
      </c>
      <c r="N129" s="45">
        <f t="shared" ca="1" si="15"/>
        <v>0</v>
      </c>
      <c r="O129" s="45">
        <f t="shared" ca="1" si="16"/>
        <v>0</v>
      </c>
      <c r="P129" s="82">
        <f t="shared" ca="1" si="10"/>
        <v>22.700000000000003</v>
      </c>
      <c r="Q129" s="82">
        <f t="shared" ca="1" si="17"/>
        <v>22.700000000000003</v>
      </c>
    </row>
    <row r="130" spans="9:17">
      <c r="I130" s="45">
        <v>122</v>
      </c>
      <c r="J130" s="45">
        <f t="shared" ca="1" si="11"/>
        <v>227</v>
      </c>
      <c r="K130" s="45">
        <f t="shared" ca="1" si="12"/>
        <v>54</v>
      </c>
      <c r="L130" s="45">
        <f t="shared" ca="1" si="14"/>
        <v>173</v>
      </c>
      <c r="M130" s="45">
        <f t="shared" ca="1" si="13"/>
        <v>0</v>
      </c>
      <c r="N130" s="45">
        <f t="shared" ca="1" si="15"/>
        <v>0</v>
      </c>
      <c r="O130" s="45">
        <f t="shared" ca="1" si="16"/>
        <v>0</v>
      </c>
      <c r="P130" s="82">
        <f t="shared" ca="1" si="10"/>
        <v>17.3</v>
      </c>
      <c r="Q130" s="82">
        <f t="shared" ca="1" si="17"/>
        <v>17.3</v>
      </c>
    </row>
    <row r="131" spans="9:17">
      <c r="I131" s="45">
        <v>123</v>
      </c>
      <c r="J131" s="45">
        <f t="shared" ca="1" si="11"/>
        <v>173</v>
      </c>
      <c r="K131" s="45">
        <f t="shared" ca="1" si="12"/>
        <v>55</v>
      </c>
      <c r="L131" s="45">
        <f t="shared" ca="1" si="14"/>
        <v>118</v>
      </c>
      <c r="M131" s="45">
        <f t="shared" ca="1" si="13"/>
        <v>0</v>
      </c>
      <c r="N131" s="45">
        <f t="shared" ca="1" si="15"/>
        <v>0</v>
      </c>
      <c r="O131" s="45">
        <f t="shared" ca="1" si="16"/>
        <v>0</v>
      </c>
      <c r="P131" s="82">
        <f t="shared" ca="1" si="10"/>
        <v>11.8</v>
      </c>
      <c r="Q131" s="82">
        <f t="shared" ca="1" si="17"/>
        <v>11.8</v>
      </c>
    </row>
    <row r="132" spans="9:17">
      <c r="I132" s="45">
        <v>124</v>
      </c>
      <c r="J132" s="45">
        <f t="shared" ca="1" si="11"/>
        <v>118</v>
      </c>
      <c r="K132" s="45">
        <f t="shared" ca="1" si="12"/>
        <v>51</v>
      </c>
      <c r="L132" s="45">
        <f t="shared" ca="1" si="14"/>
        <v>67</v>
      </c>
      <c r="M132" s="45">
        <f t="shared" ca="1" si="13"/>
        <v>1</v>
      </c>
      <c r="N132" s="45">
        <f t="shared" ca="1" si="15"/>
        <v>2</v>
      </c>
      <c r="O132" s="45">
        <f t="shared" ca="1" si="16"/>
        <v>400</v>
      </c>
      <c r="P132" s="82">
        <f t="shared" ca="1" si="10"/>
        <v>6.7</v>
      </c>
      <c r="Q132" s="82">
        <f t="shared" ca="1" si="17"/>
        <v>406.7</v>
      </c>
    </row>
    <row r="133" spans="9:17">
      <c r="I133" s="45">
        <v>125</v>
      </c>
      <c r="J133" s="45">
        <f t="shared" ca="1" si="11"/>
        <v>67</v>
      </c>
      <c r="K133" s="45">
        <f t="shared" ca="1" si="12"/>
        <v>51</v>
      </c>
      <c r="L133" s="45">
        <f t="shared" ca="1" si="14"/>
        <v>16</v>
      </c>
      <c r="M133" s="45">
        <f t="shared" ca="1" si="13"/>
        <v>0</v>
      </c>
      <c r="N133" s="45">
        <f t="shared" ca="1" si="15"/>
        <v>0</v>
      </c>
      <c r="O133" s="45">
        <f t="shared" ca="1" si="16"/>
        <v>0</v>
      </c>
      <c r="P133" s="82">
        <f t="shared" ca="1" si="10"/>
        <v>1.6</v>
      </c>
      <c r="Q133" s="82">
        <f t="shared" ca="1" si="17"/>
        <v>1.6</v>
      </c>
    </row>
    <row r="134" spans="9:17">
      <c r="I134" s="45">
        <v>126</v>
      </c>
      <c r="J134" s="45">
        <f t="shared" ca="1" si="11"/>
        <v>214</v>
      </c>
      <c r="K134" s="45">
        <f t="shared" ca="1" si="12"/>
        <v>54</v>
      </c>
      <c r="L134" s="45">
        <f t="shared" ca="1" si="14"/>
        <v>160</v>
      </c>
      <c r="M134" s="45">
        <f t="shared" ca="1" si="13"/>
        <v>0</v>
      </c>
      <c r="N134" s="45">
        <f t="shared" ca="1" si="15"/>
        <v>0</v>
      </c>
      <c r="O134" s="45">
        <f t="shared" ca="1" si="16"/>
        <v>0</v>
      </c>
      <c r="P134" s="82">
        <f t="shared" ca="1" si="10"/>
        <v>16</v>
      </c>
      <c r="Q134" s="82">
        <f t="shared" ca="1" si="17"/>
        <v>16</v>
      </c>
    </row>
    <row r="135" spans="9:17">
      <c r="I135" s="45">
        <v>127</v>
      </c>
      <c r="J135" s="45">
        <f t="shared" ca="1" si="11"/>
        <v>160</v>
      </c>
      <c r="K135" s="45">
        <f t="shared" ca="1" si="12"/>
        <v>52</v>
      </c>
      <c r="L135" s="45">
        <f t="shared" ca="1" si="14"/>
        <v>108</v>
      </c>
      <c r="M135" s="45">
        <f t="shared" ca="1" si="13"/>
        <v>0</v>
      </c>
      <c r="N135" s="45">
        <f t="shared" ca="1" si="15"/>
        <v>0</v>
      </c>
      <c r="O135" s="45">
        <f t="shared" ca="1" si="16"/>
        <v>0</v>
      </c>
      <c r="P135" s="82">
        <f t="shared" ca="1" si="10"/>
        <v>10.8</v>
      </c>
      <c r="Q135" s="82">
        <f t="shared" ca="1" si="17"/>
        <v>10.8</v>
      </c>
    </row>
    <row r="136" spans="9:17">
      <c r="I136" s="45">
        <v>128</v>
      </c>
      <c r="J136" s="45">
        <f t="shared" ca="1" si="11"/>
        <v>108</v>
      </c>
      <c r="K136" s="45">
        <f t="shared" ca="1" si="12"/>
        <v>53</v>
      </c>
      <c r="L136" s="45">
        <f t="shared" ca="1" si="14"/>
        <v>55</v>
      </c>
      <c r="M136" s="45">
        <f t="shared" ca="1" si="13"/>
        <v>1</v>
      </c>
      <c r="N136" s="45">
        <f t="shared" ca="1" si="15"/>
        <v>1</v>
      </c>
      <c r="O136" s="45">
        <f t="shared" ca="1" si="16"/>
        <v>400</v>
      </c>
      <c r="P136" s="82">
        <f t="shared" ca="1" si="10"/>
        <v>5.5</v>
      </c>
      <c r="Q136" s="82">
        <f t="shared" ca="1" si="17"/>
        <v>405.5</v>
      </c>
    </row>
    <row r="137" spans="9:17">
      <c r="I137" s="45">
        <v>129</v>
      </c>
      <c r="J137" s="45">
        <f t="shared" ca="1" si="11"/>
        <v>253</v>
      </c>
      <c r="K137" s="45">
        <f t="shared" ca="1" si="12"/>
        <v>52</v>
      </c>
      <c r="L137" s="45">
        <f t="shared" ca="1" si="14"/>
        <v>201</v>
      </c>
      <c r="M137" s="45">
        <f t="shared" ca="1" si="13"/>
        <v>0</v>
      </c>
      <c r="N137" s="45">
        <f t="shared" ca="1" si="15"/>
        <v>0</v>
      </c>
      <c r="O137" s="45">
        <f t="shared" ca="1" si="16"/>
        <v>0</v>
      </c>
      <c r="P137" s="82">
        <f t="shared" ref="P137:P200" ca="1" si="18">L137*$C$5</f>
        <v>20.100000000000001</v>
      </c>
      <c r="Q137" s="82">
        <f t="shared" ca="1" si="17"/>
        <v>20.100000000000001</v>
      </c>
    </row>
    <row r="138" spans="9:17">
      <c r="I138" s="45">
        <v>130</v>
      </c>
      <c r="J138" s="45">
        <f t="shared" ref="J138:J201" ca="1" si="19">L137+IF(N137=1,$C$6,0)+IF(N136=2,$C$6,0)</f>
        <v>201</v>
      </c>
      <c r="K138" s="45">
        <f t="shared" ref="K138:K201" ca="1" si="20">INDEX($E$4:$E$9,MATCH(RAND(),$G$4:$G$10,1))</f>
        <v>53</v>
      </c>
      <c r="L138" s="45">
        <f t="shared" ca="1" si="14"/>
        <v>148</v>
      </c>
      <c r="M138" s="45">
        <f t="shared" ref="M138:M201" ca="1" si="21">IF(L138&lt;2*K139,IF(N137=2,0,1),0)</f>
        <v>0</v>
      </c>
      <c r="N138" s="45">
        <f t="shared" ca="1" si="15"/>
        <v>0</v>
      </c>
      <c r="O138" s="45">
        <f t="shared" ca="1" si="16"/>
        <v>0</v>
      </c>
      <c r="P138" s="82">
        <f t="shared" ca="1" si="18"/>
        <v>14.8</v>
      </c>
      <c r="Q138" s="82">
        <f t="shared" ca="1" si="17"/>
        <v>14.8</v>
      </c>
    </row>
    <row r="139" spans="9:17">
      <c r="I139" s="45">
        <v>131</v>
      </c>
      <c r="J139" s="45">
        <f t="shared" ca="1" si="19"/>
        <v>148</v>
      </c>
      <c r="K139" s="45">
        <f t="shared" ca="1" si="20"/>
        <v>53</v>
      </c>
      <c r="L139" s="45">
        <f t="shared" ref="L139:L202" ca="1" si="22">J139-K139</f>
        <v>95</v>
      </c>
      <c r="M139" s="45">
        <f t="shared" ca="1" si="21"/>
        <v>1</v>
      </c>
      <c r="N139" s="45">
        <f t="shared" ref="N139:N202" ca="1" si="23">IF(M139=1,RANDBETWEEN(1,2),0)</f>
        <v>2</v>
      </c>
      <c r="O139" s="45">
        <f t="shared" ref="O139:O202" ca="1" si="24">IF(M139=1,$C$3,0)</f>
        <v>400</v>
      </c>
      <c r="P139" s="82">
        <f t="shared" ca="1" si="18"/>
        <v>9.5</v>
      </c>
      <c r="Q139" s="82">
        <f t="shared" ref="Q139:Q202" ca="1" si="25">O139+P139</f>
        <v>409.5</v>
      </c>
    </row>
    <row r="140" spans="9:17">
      <c r="I140" s="45">
        <v>132</v>
      </c>
      <c r="J140" s="45">
        <f t="shared" ca="1" si="19"/>
        <v>95</v>
      </c>
      <c r="K140" s="45">
        <f t="shared" ca="1" si="20"/>
        <v>54</v>
      </c>
      <c r="L140" s="45">
        <f t="shared" ca="1" si="22"/>
        <v>41</v>
      </c>
      <c r="M140" s="45">
        <f t="shared" ca="1" si="21"/>
        <v>0</v>
      </c>
      <c r="N140" s="45">
        <f t="shared" ca="1" si="23"/>
        <v>0</v>
      </c>
      <c r="O140" s="45">
        <f t="shared" ca="1" si="24"/>
        <v>0</v>
      </c>
      <c r="P140" s="82">
        <f t="shared" ca="1" si="18"/>
        <v>4.1000000000000005</v>
      </c>
      <c r="Q140" s="82">
        <f t="shared" ca="1" si="25"/>
        <v>4.1000000000000005</v>
      </c>
    </row>
    <row r="141" spans="9:17">
      <c r="I141" s="45">
        <v>133</v>
      </c>
      <c r="J141" s="45">
        <f t="shared" ca="1" si="19"/>
        <v>239</v>
      </c>
      <c r="K141" s="45">
        <f t="shared" ca="1" si="20"/>
        <v>55</v>
      </c>
      <c r="L141" s="45">
        <f t="shared" ca="1" si="22"/>
        <v>184</v>
      </c>
      <c r="M141" s="45">
        <f t="shared" ca="1" si="21"/>
        <v>0</v>
      </c>
      <c r="N141" s="45">
        <f t="shared" ca="1" si="23"/>
        <v>0</v>
      </c>
      <c r="O141" s="45">
        <f t="shared" ca="1" si="24"/>
        <v>0</v>
      </c>
      <c r="P141" s="82">
        <f t="shared" ca="1" si="18"/>
        <v>18.400000000000002</v>
      </c>
      <c r="Q141" s="82">
        <f t="shared" ca="1" si="25"/>
        <v>18.400000000000002</v>
      </c>
    </row>
    <row r="142" spans="9:17">
      <c r="I142" s="45">
        <v>134</v>
      </c>
      <c r="J142" s="45">
        <f t="shared" ca="1" si="19"/>
        <v>184</v>
      </c>
      <c r="K142" s="45">
        <f t="shared" ca="1" si="20"/>
        <v>55</v>
      </c>
      <c r="L142" s="45">
        <f t="shared" ca="1" si="22"/>
        <v>129</v>
      </c>
      <c r="M142" s="45">
        <f t="shared" ca="1" si="21"/>
        <v>0</v>
      </c>
      <c r="N142" s="45">
        <f t="shared" ca="1" si="23"/>
        <v>0</v>
      </c>
      <c r="O142" s="45">
        <f t="shared" ca="1" si="24"/>
        <v>0</v>
      </c>
      <c r="P142" s="82">
        <f t="shared" ca="1" si="18"/>
        <v>12.9</v>
      </c>
      <c r="Q142" s="82">
        <f t="shared" ca="1" si="25"/>
        <v>12.9</v>
      </c>
    </row>
    <row r="143" spans="9:17">
      <c r="I143" s="45">
        <v>135</v>
      </c>
      <c r="J143" s="45">
        <f t="shared" ca="1" si="19"/>
        <v>129</v>
      </c>
      <c r="K143" s="45">
        <f t="shared" ca="1" si="20"/>
        <v>52</v>
      </c>
      <c r="L143" s="45">
        <f t="shared" ca="1" si="22"/>
        <v>77</v>
      </c>
      <c r="M143" s="45">
        <f t="shared" ca="1" si="21"/>
        <v>1</v>
      </c>
      <c r="N143" s="45">
        <f t="shared" ca="1" si="23"/>
        <v>2</v>
      </c>
      <c r="O143" s="45">
        <f t="shared" ca="1" si="24"/>
        <v>400</v>
      </c>
      <c r="P143" s="82">
        <f t="shared" ca="1" si="18"/>
        <v>7.7</v>
      </c>
      <c r="Q143" s="82">
        <f t="shared" ca="1" si="25"/>
        <v>407.7</v>
      </c>
    </row>
    <row r="144" spans="9:17">
      <c r="I144" s="45">
        <v>136</v>
      </c>
      <c r="J144" s="45">
        <f t="shared" ca="1" si="19"/>
        <v>77</v>
      </c>
      <c r="K144" s="45">
        <f t="shared" ca="1" si="20"/>
        <v>52</v>
      </c>
      <c r="L144" s="45">
        <f t="shared" ca="1" si="22"/>
        <v>25</v>
      </c>
      <c r="M144" s="45">
        <f t="shared" ca="1" si="21"/>
        <v>0</v>
      </c>
      <c r="N144" s="45">
        <f t="shared" ca="1" si="23"/>
        <v>0</v>
      </c>
      <c r="O144" s="45">
        <f t="shared" ca="1" si="24"/>
        <v>0</v>
      </c>
      <c r="P144" s="82">
        <f t="shared" ca="1" si="18"/>
        <v>2.5</v>
      </c>
      <c r="Q144" s="82">
        <f t="shared" ca="1" si="25"/>
        <v>2.5</v>
      </c>
    </row>
    <row r="145" spans="9:17">
      <c r="I145" s="45">
        <v>137</v>
      </c>
      <c r="J145" s="45">
        <f t="shared" ca="1" si="19"/>
        <v>223</v>
      </c>
      <c r="K145" s="45">
        <f t="shared" ca="1" si="20"/>
        <v>53</v>
      </c>
      <c r="L145" s="45">
        <f t="shared" ca="1" si="22"/>
        <v>170</v>
      </c>
      <c r="M145" s="45">
        <f t="shared" ca="1" si="21"/>
        <v>0</v>
      </c>
      <c r="N145" s="45">
        <f t="shared" ca="1" si="23"/>
        <v>0</v>
      </c>
      <c r="O145" s="45">
        <f t="shared" ca="1" si="24"/>
        <v>0</v>
      </c>
      <c r="P145" s="82">
        <f t="shared" ca="1" si="18"/>
        <v>17</v>
      </c>
      <c r="Q145" s="82">
        <f t="shared" ca="1" si="25"/>
        <v>17</v>
      </c>
    </row>
    <row r="146" spans="9:17">
      <c r="I146" s="45">
        <v>138</v>
      </c>
      <c r="J146" s="45">
        <f t="shared" ca="1" si="19"/>
        <v>170</v>
      </c>
      <c r="K146" s="45">
        <f t="shared" ca="1" si="20"/>
        <v>54</v>
      </c>
      <c r="L146" s="45">
        <f t="shared" ca="1" si="22"/>
        <v>116</v>
      </c>
      <c r="M146" s="45">
        <f t="shared" ca="1" si="21"/>
        <v>0</v>
      </c>
      <c r="N146" s="45">
        <f t="shared" ca="1" si="23"/>
        <v>0</v>
      </c>
      <c r="O146" s="45">
        <f t="shared" ca="1" si="24"/>
        <v>0</v>
      </c>
      <c r="P146" s="82">
        <f t="shared" ca="1" si="18"/>
        <v>11.600000000000001</v>
      </c>
      <c r="Q146" s="82">
        <f t="shared" ca="1" si="25"/>
        <v>11.600000000000001</v>
      </c>
    </row>
    <row r="147" spans="9:17">
      <c r="I147" s="45">
        <v>139</v>
      </c>
      <c r="J147" s="45">
        <f t="shared" ca="1" si="19"/>
        <v>116</v>
      </c>
      <c r="K147" s="45">
        <f t="shared" ca="1" si="20"/>
        <v>52</v>
      </c>
      <c r="L147" s="45">
        <f t="shared" ca="1" si="22"/>
        <v>64</v>
      </c>
      <c r="M147" s="45">
        <f t="shared" ca="1" si="21"/>
        <v>1</v>
      </c>
      <c r="N147" s="45">
        <f t="shared" ca="1" si="23"/>
        <v>2</v>
      </c>
      <c r="O147" s="45">
        <f t="shared" ca="1" si="24"/>
        <v>400</v>
      </c>
      <c r="P147" s="82">
        <f t="shared" ca="1" si="18"/>
        <v>6.4</v>
      </c>
      <c r="Q147" s="82">
        <f t="shared" ca="1" si="25"/>
        <v>406.4</v>
      </c>
    </row>
    <row r="148" spans="9:17">
      <c r="I148" s="45">
        <v>140</v>
      </c>
      <c r="J148" s="45">
        <f t="shared" ca="1" si="19"/>
        <v>64</v>
      </c>
      <c r="K148" s="45">
        <f t="shared" ca="1" si="20"/>
        <v>53</v>
      </c>
      <c r="L148" s="45">
        <f t="shared" ca="1" si="22"/>
        <v>11</v>
      </c>
      <c r="M148" s="45">
        <f t="shared" ca="1" si="21"/>
        <v>0</v>
      </c>
      <c r="N148" s="45">
        <f t="shared" ca="1" si="23"/>
        <v>0</v>
      </c>
      <c r="O148" s="45">
        <f t="shared" ca="1" si="24"/>
        <v>0</v>
      </c>
      <c r="P148" s="82">
        <f t="shared" ca="1" si="18"/>
        <v>1.1000000000000001</v>
      </c>
      <c r="Q148" s="82">
        <f t="shared" ca="1" si="25"/>
        <v>1.1000000000000001</v>
      </c>
    </row>
    <row r="149" spans="9:17">
      <c r="I149" s="45">
        <v>141</v>
      </c>
      <c r="J149" s="45">
        <f t="shared" ca="1" si="19"/>
        <v>209</v>
      </c>
      <c r="K149" s="45">
        <f t="shared" ca="1" si="20"/>
        <v>53</v>
      </c>
      <c r="L149" s="45">
        <f t="shared" ca="1" si="22"/>
        <v>156</v>
      </c>
      <c r="M149" s="45">
        <f t="shared" ca="1" si="21"/>
        <v>0</v>
      </c>
      <c r="N149" s="45">
        <f t="shared" ca="1" si="23"/>
        <v>0</v>
      </c>
      <c r="O149" s="45">
        <f t="shared" ca="1" si="24"/>
        <v>0</v>
      </c>
      <c r="P149" s="82">
        <f t="shared" ca="1" si="18"/>
        <v>15.600000000000001</v>
      </c>
      <c r="Q149" s="82">
        <f t="shared" ca="1" si="25"/>
        <v>15.600000000000001</v>
      </c>
    </row>
    <row r="150" spans="9:17">
      <c r="I150" s="45">
        <v>142</v>
      </c>
      <c r="J150" s="45">
        <f t="shared" ca="1" si="19"/>
        <v>156</v>
      </c>
      <c r="K150" s="45">
        <f t="shared" ca="1" si="20"/>
        <v>55</v>
      </c>
      <c r="L150" s="45">
        <f t="shared" ca="1" si="22"/>
        <v>101</v>
      </c>
      <c r="M150" s="45">
        <f t="shared" ca="1" si="21"/>
        <v>1</v>
      </c>
      <c r="N150" s="45">
        <f t="shared" ca="1" si="23"/>
        <v>2</v>
      </c>
      <c r="O150" s="45">
        <f t="shared" ca="1" si="24"/>
        <v>400</v>
      </c>
      <c r="P150" s="82">
        <f t="shared" ca="1" si="18"/>
        <v>10.100000000000001</v>
      </c>
      <c r="Q150" s="82">
        <f t="shared" ca="1" si="25"/>
        <v>410.1</v>
      </c>
    </row>
    <row r="151" spans="9:17">
      <c r="I151" s="45">
        <v>143</v>
      </c>
      <c r="J151" s="45">
        <f t="shared" ca="1" si="19"/>
        <v>101</v>
      </c>
      <c r="K151" s="45">
        <f t="shared" ca="1" si="20"/>
        <v>52</v>
      </c>
      <c r="L151" s="45">
        <f t="shared" ca="1" si="22"/>
        <v>49</v>
      </c>
      <c r="M151" s="45">
        <f t="shared" ca="1" si="21"/>
        <v>0</v>
      </c>
      <c r="N151" s="45">
        <f t="shared" ca="1" si="23"/>
        <v>0</v>
      </c>
      <c r="O151" s="45">
        <f t="shared" ca="1" si="24"/>
        <v>0</v>
      </c>
      <c r="P151" s="82">
        <f t="shared" ca="1" si="18"/>
        <v>4.9000000000000004</v>
      </c>
      <c r="Q151" s="82">
        <f t="shared" ca="1" si="25"/>
        <v>4.9000000000000004</v>
      </c>
    </row>
    <row r="152" spans="9:17">
      <c r="I152" s="45">
        <v>144</v>
      </c>
      <c r="J152" s="45">
        <f t="shared" ca="1" si="19"/>
        <v>247</v>
      </c>
      <c r="K152" s="45">
        <f t="shared" ca="1" si="20"/>
        <v>54</v>
      </c>
      <c r="L152" s="45">
        <f t="shared" ca="1" si="22"/>
        <v>193</v>
      </c>
      <c r="M152" s="45">
        <f t="shared" ca="1" si="21"/>
        <v>0</v>
      </c>
      <c r="N152" s="45">
        <f t="shared" ca="1" si="23"/>
        <v>0</v>
      </c>
      <c r="O152" s="45">
        <f t="shared" ca="1" si="24"/>
        <v>0</v>
      </c>
      <c r="P152" s="82">
        <f t="shared" ca="1" si="18"/>
        <v>19.3</v>
      </c>
      <c r="Q152" s="82">
        <f t="shared" ca="1" si="25"/>
        <v>19.3</v>
      </c>
    </row>
    <row r="153" spans="9:17">
      <c r="I153" s="45">
        <v>145</v>
      </c>
      <c r="J153" s="45">
        <f t="shared" ca="1" si="19"/>
        <v>193</v>
      </c>
      <c r="K153" s="45">
        <f t="shared" ca="1" si="20"/>
        <v>53</v>
      </c>
      <c r="L153" s="45">
        <f t="shared" ca="1" si="22"/>
        <v>140</v>
      </c>
      <c r="M153" s="45">
        <f t="shared" ca="1" si="21"/>
        <v>0</v>
      </c>
      <c r="N153" s="45">
        <f t="shared" ca="1" si="23"/>
        <v>0</v>
      </c>
      <c r="O153" s="45">
        <f t="shared" ca="1" si="24"/>
        <v>0</v>
      </c>
      <c r="P153" s="82">
        <f t="shared" ca="1" si="18"/>
        <v>14</v>
      </c>
      <c r="Q153" s="82">
        <f t="shared" ca="1" si="25"/>
        <v>14</v>
      </c>
    </row>
    <row r="154" spans="9:17">
      <c r="I154" s="45">
        <v>146</v>
      </c>
      <c r="J154" s="45">
        <f t="shared" ca="1" si="19"/>
        <v>140</v>
      </c>
      <c r="K154" s="45">
        <f t="shared" ca="1" si="20"/>
        <v>51</v>
      </c>
      <c r="L154" s="45">
        <f t="shared" ca="1" si="22"/>
        <v>89</v>
      </c>
      <c r="M154" s="45">
        <f t="shared" ca="1" si="21"/>
        <v>1</v>
      </c>
      <c r="N154" s="45">
        <f t="shared" ca="1" si="23"/>
        <v>2</v>
      </c>
      <c r="O154" s="45">
        <f t="shared" ca="1" si="24"/>
        <v>400</v>
      </c>
      <c r="P154" s="82">
        <f t="shared" ca="1" si="18"/>
        <v>8.9</v>
      </c>
      <c r="Q154" s="82">
        <f t="shared" ca="1" si="25"/>
        <v>408.9</v>
      </c>
    </row>
    <row r="155" spans="9:17">
      <c r="I155" s="45">
        <v>147</v>
      </c>
      <c r="J155" s="45">
        <f t="shared" ca="1" si="19"/>
        <v>89</v>
      </c>
      <c r="K155" s="45">
        <f t="shared" ca="1" si="20"/>
        <v>53</v>
      </c>
      <c r="L155" s="45">
        <f t="shared" ca="1" si="22"/>
        <v>36</v>
      </c>
      <c r="M155" s="45">
        <f t="shared" ca="1" si="21"/>
        <v>0</v>
      </c>
      <c r="N155" s="45">
        <f t="shared" ca="1" si="23"/>
        <v>0</v>
      </c>
      <c r="O155" s="45">
        <f t="shared" ca="1" si="24"/>
        <v>0</v>
      </c>
      <c r="P155" s="82">
        <f t="shared" ca="1" si="18"/>
        <v>3.6</v>
      </c>
      <c r="Q155" s="82">
        <f t="shared" ca="1" si="25"/>
        <v>3.6</v>
      </c>
    </row>
    <row r="156" spans="9:17">
      <c r="I156" s="45">
        <v>148</v>
      </c>
      <c r="J156" s="45">
        <f t="shared" ca="1" si="19"/>
        <v>234</v>
      </c>
      <c r="K156" s="45">
        <f t="shared" ca="1" si="20"/>
        <v>55</v>
      </c>
      <c r="L156" s="45">
        <f t="shared" ca="1" si="22"/>
        <v>179</v>
      </c>
      <c r="M156" s="45">
        <f t="shared" ca="1" si="21"/>
        <v>0</v>
      </c>
      <c r="N156" s="45">
        <f t="shared" ca="1" si="23"/>
        <v>0</v>
      </c>
      <c r="O156" s="45">
        <f t="shared" ca="1" si="24"/>
        <v>0</v>
      </c>
      <c r="P156" s="82">
        <f t="shared" ca="1" si="18"/>
        <v>17.900000000000002</v>
      </c>
      <c r="Q156" s="82">
        <f t="shared" ca="1" si="25"/>
        <v>17.900000000000002</v>
      </c>
    </row>
    <row r="157" spans="9:17">
      <c r="I157" s="45">
        <v>149</v>
      </c>
      <c r="J157" s="45">
        <f t="shared" ca="1" si="19"/>
        <v>179</v>
      </c>
      <c r="K157" s="45">
        <f t="shared" ca="1" si="20"/>
        <v>54</v>
      </c>
      <c r="L157" s="45">
        <f t="shared" ca="1" si="22"/>
        <v>125</v>
      </c>
      <c r="M157" s="45">
        <f t="shared" ca="1" si="21"/>
        <v>0</v>
      </c>
      <c r="N157" s="45">
        <f t="shared" ca="1" si="23"/>
        <v>0</v>
      </c>
      <c r="O157" s="45">
        <f t="shared" ca="1" si="24"/>
        <v>0</v>
      </c>
      <c r="P157" s="82">
        <f t="shared" ca="1" si="18"/>
        <v>12.5</v>
      </c>
      <c r="Q157" s="82">
        <f t="shared" ca="1" si="25"/>
        <v>12.5</v>
      </c>
    </row>
    <row r="158" spans="9:17">
      <c r="I158" s="45">
        <v>150</v>
      </c>
      <c r="J158" s="45">
        <f t="shared" ca="1" si="19"/>
        <v>125</v>
      </c>
      <c r="K158" s="45">
        <f t="shared" ca="1" si="20"/>
        <v>53</v>
      </c>
      <c r="L158" s="45">
        <f t="shared" ca="1" si="22"/>
        <v>72</v>
      </c>
      <c r="M158" s="45">
        <f t="shared" ca="1" si="21"/>
        <v>1</v>
      </c>
      <c r="N158" s="45">
        <f t="shared" ca="1" si="23"/>
        <v>2</v>
      </c>
      <c r="O158" s="45">
        <f t="shared" ca="1" si="24"/>
        <v>400</v>
      </c>
      <c r="P158" s="82">
        <f t="shared" ca="1" si="18"/>
        <v>7.2</v>
      </c>
      <c r="Q158" s="82">
        <f t="shared" ca="1" si="25"/>
        <v>407.2</v>
      </c>
    </row>
    <row r="159" spans="9:17">
      <c r="I159" s="45">
        <v>151</v>
      </c>
      <c r="J159" s="45">
        <f t="shared" ca="1" si="19"/>
        <v>72</v>
      </c>
      <c r="K159" s="45">
        <f t="shared" ca="1" si="20"/>
        <v>55</v>
      </c>
      <c r="L159" s="45">
        <f t="shared" ca="1" si="22"/>
        <v>17</v>
      </c>
      <c r="M159" s="45">
        <f t="shared" ca="1" si="21"/>
        <v>0</v>
      </c>
      <c r="N159" s="45">
        <f t="shared" ca="1" si="23"/>
        <v>0</v>
      </c>
      <c r="O159" s="45">
        <f t="shared" ca="1" si="24"/>
        <v>0</v>
      </c>
      <c r="P159" s="82">
        <f t="shared" ca="1" si="18"/>
        <v>1.7000000000000002</v>
      </c>
      <c r="Q159" s="82">
        <f t="shared" ca="1" si="25"/>
        <v>1.7000000000000002</v>
      </c>
    </row>
    <row r="160" spans="9:17">
      <c r="I160" s="45">
        <v>152</v>
      </c>
      <c r="J160" s="45">
        <f t="shared" ca="1" si="19"/>
        <v>215</v>
      </c>
      <c r="K160" s="45">
        <f t="shared" ca="1" si="20"/>
        <v>55</v>
      </c>
      <c r="L160" s="45">
        <f t="shared" ca="1" si="22"/>
        <v>160</v>
      </c>
      <c r="M160" s="45">
        <f t="shared" ca="1" si="21"/>
        <v>0</v>
      </c>
      <c r="N160" s="45">
        <f t="shared" ca="1" si="23"/>
        <v>0</v>
      </c>
      <c r="O160" s="45">
        <f t="shared" ca="1" si="24"/>
        <v>0</v>
      </c>
      <c r="P160" s="82">
        <f t="shared" ca="1" si="18"/>
        <v>16</v>
      </c>
      <c r="Q160" s="82">
        <f t="shared" ca="1" si="25"/>
        <v>16</v>
      </c>
    </row>
    <row r="161" spans="9:17">
      <c r="I161" s="45">
        <v>153</v>
      </c>
      <c r="J161" s="45">
        <f t="shared" ca="1" si="19"/>
        <v>160</v>
      </c>
      <c r="K161" s="45">
        <f t="shared" ca="1" si="20"/>
        <v>52</v>
      </c>
      <c r="L161" s="45">
        <f t="shared" ca="1" si="22"/>
        <v>108</v>
      </c>
      <c r="M161" s="45">
        <f t="shared" ca="1" si="21"/>
        <v>1</v>
      </c>
      <c r="N161" s="45">
        <f t="shared" ca="1" si="23"/>
        <v>1</v>
      </c>
      <c r="O161" s="45">
        <f t="shared" ca="1" si="24"/>
        <v>400</v>
      </c>
      <c r="P161" s="82">
        <f t="shared" ca="1" si="18"/>
        <v>10.8</v>
      </c>
      <c r="Q161" s="82">
        <f t="shared" ca="1" si="25"/>
        <v>410.8</v>
      </c>
    </row>
    <row r="162" spans="9:17">
      <c r="I162" s="45">
        <v>154</v>
      </c>
      <c r="J162" s="45">
        <f t="shared" ca="1" si="19"/>
        <v>306</v>
      </c>
      <c r="K162" s="45">
        <f t="shared" ca="1" si="20"/>
        <v>55</v>
      </c>
      <c r="L162" s="45">
        <f t="shared" ca="1" si="22"/>
        <v>251</v>
      </c>
      <c r="M162" s="45">
        <f t="shared" ca="1" si="21"/>
        <v>0</v>
      </c>
      <c r="N162" s="45">
        <f t="shared" ca="1" si="23"/>
        <v>0</v>
      </c>
      <c r="O162" s="45">
        <f t="shared" ca="1" si="24"/>
        <v>0</v>
      </c>
      <c r="P162" s="82">
        <f t="shared" ca="1" si="18"/>
        <v>25.1</v>
      </c>
      <c r="Q162" s="82">
        <f t="shared" ca="1" si="25"/>
        <v>25.1</v>
      </c>
    </row>
    <row r="163" spans="9:17">
      <c r="I163" s="45">
        <v>155</v>
      </c>
      <c r="J163" s="45">
        <f t="shared" ca="1" si="19"/>
        <v>251</v>
      </c>
      <c r="K163" s="45">
        <f t="shared" ca="1" si="20"/>
        <v>54</v>
      </c>
      <c r="L163" s="45">
        <f t="shared" ca="1" si="22"/>
        <v>197</v>
      </c>
      <c r="M163" s="45">
        <f t="shared" ca="1" si="21"/>
        <v>0</v>
      </c>
      <c r="N163" s="45">
        <f t="shared" ca="1" si="23"/>
        <v>0</v>
      </c>
      <c r="O163" s="45">
        <f t="shared" ca="1" si="24"/>
        <v>0</v>
      </c>
      <c r="P163" s="82">
        <f t="shared" ca="1" si="18"/>
        <v>19.700000000000003</v>
      </c>
      <c r="Q163" s="82">
        <f t="shared" ca="1" si="25"/>
        <v>19.700000000000003</v>
      </c>
    </row>
    <row r="164" spans="9:17">
      <c r="I164" s="45">
        <v>156</v>
      </c>
      <c r="J164" s="45">
        <f t="shared" ca="1" si="19"/>
        <v>197</v>
      </c>
      <c r="K164" s="45">
        <f t="shared" ca="1" si="20"/>
        <v>54</v>
      </c>
      <c r="L164" s="45">
        <f t="shared" ca="1" si="22"/>
        <v>143</v>
      </c>
      <c r="M164" s="45">
        <f t="shared" ca="1" si="21"/>
        <v>0</v>
      </c>
      <c r="N164" s="45">
        <f t="shared" ca="1" si="23"/>
        <v>0</v>
      </c>
      <c r="O164" s="45">
        <f t="shared" ca="1" si="24"/>
        <v>0</v>
      </c>
      <c r="P164" s="82">
        <f t="shared" ca="1" si="18"/>
        <v>14.3</v>
      </c>
      <c r="Q164" s="82">
        <f t="shared" ca="1" si="25"/>
        <v>14.3</v>
      </c>
    </row>
    <row r="165" spans="9:17">
      <c r="I165" s="45">
        <v>157</v>
      </c>
      <c r="J165" s="45">
        <f t="shared" ca="1" si="19"/>
        <v>143</v>
      </c>
      <c r="K165" s="45">
        <f t="shared" ca="1" si="20"/>
        <v>53</v>
      </c>
      <c r="L165" s="45">
        <f t="shared" ca="1" si="22"/>
        <v>90</v>
      </c>
      <c r="M165" s="45">
        <f t="shared" ca="1" si="21"/>
        <v>1</v>
      </c>
      <c r="N165" s="45">
        <f t="shared" ca="1" si="23"/>
        <v>1</v>
      </c>
      <c r="O165" s="45">
        <f t="shared" ca="1" si="24"/>
        <v>400</v>
      </c>
      <c r="P165" s="82">
        <f t="shared" ca="1" si="18"/>
        <v>9</v>
      </c>
      <c r="Q165" s="82">
        <f t="shared" ca="1" si="25"/>
        <v>409</v>
      </c>
    </row>
    <row r="166" spans="9:17">
      <c r="I166" s="45">
        <v>158</v>
      </c>
      <c r="J166" s="45">
        <f t="shared" ca="1" si="19"/>
        <v>288</v>
      </c>
      <c r="K166" s="45">
        <f t="shared" ca="1" si="20"/>
        <v>52</v>
      </c>
      <c r="L166" s="45">
        <f t="shared" ca="1" si="22"/>
        <v>236</v>
      </c>
      <c r="M166" s="45">
        <f t="shared" ca="1" si="21"/>
        <v>0</v>
      </c>
      <c r="N166" s="45">
        <f t="shared" ca="1" si="23"/>
        <v>0</v>
      </c>
      <c r="O166" s="45">
        <f t="shared" ca="1" si="24"/>
        <v>0</v>
      </c>
      <c r="P166" s="82">
        <f t="shared" ca="1" si="18"/>
        <v>23.6</v>
      </c>
      <c r="Q166" s="82">
        <f t="shared" ca="1" si="25"/>
        <v>23.6</v>
      </c>
    </row>
    <row r="167" spans="9:17">
      <c r="I167" s="45">
        <v>159</v>
      </c>
      <c r="J167" s="45">
        <f t="shared" ca="1" si="19"/>
        <v>236</v>
      </c>
      <c r="K167" s="45">
        <f t="shared" ca="1" si="20"/>
        <v>52</v>
      </c>
      <c r="L167" s="45">
        <f t="shared" ca="1" si="22"/>
        <v>184</v>
      </c>
      <c r="M167" s="45">
        <f t="shared" ca="1" si="21"/>
        <v>0</v>
      </c>
      <c r="N167" s="45">
        <f t="shared" ca="1" si="23"/>
        <v>0</v>
      </c>
      <c r="O167" s="45">
        <f t="shared" ca="1" si="24"/>
        <v>0</v>
      </c>
      <c r="P167" s="82">
        <f t="shared" ca="1" si="18"/>
        <v>18.400000000000002</v>
      </c>
      <c r="Q167" s="82">
        <f t="shared" ca="1" si="25"/>
        <v>18.400000000000002</v>
      </c>
    </row>
    <row r="168" spans="9:17">
      <c r="I168" s="45">
        <v>160</v>
      </c>
      <c r="J168" s="45">
        <f t="shared" ca="1" si="19"/>
        <v>184</v>
      </c>
      <c r="K168" s="45">
        <f t="shared" ca="1" si="20"/>
        <v>54</v>
      </c>
      <c r="L168" s="45">
        <f t="shared" ca="1" si="22"/>
        <v>130</v>
      </c>
      <c r="M168" s="45">
        <f t="shared" ca="1" si="21"/>
        <v>0</v>
      </c>
      <c r="N168" s="45">
        <f t="shared" ca="1" si="23"/>
        <v>0</v>
      </c>
      <c r="O168" s="45">
        <f t="shared" ca="1" si="24"/>
        <v>0</v>
      </c>
      <c r="P168" s="82">
        <f t="shared" ca="1" si="18"/>
        <v>13</v>
      </c>
      <c r="Q168" s="82">
        <f t="shared" ca="1" si="25"/>
        <v>13</v>
      </c>
    </row>
    <row r="169" spans="9:17">
      <c r="I169" s="45">
        <v>161</v>
      </c>
      <c r="J169" s="45">
        <f t="shared" ca="1" si="19"/>
        <v>130</v>
      </c>
      <c r="K169" s="45">
        <f t="shared" ca="1" si="20"/>
        <v>54</v>
      </c>
      <c r="L169" s="45">
        <f t="shared" ca="1" si="22"/>
        <v>76</v>
      </c>
      <c r="M169" s="45">
        <f t="shared" ca="1" si="21"/>
        <v>1</v>
      </c>
      <c r="N169" s="45">
        <f t="shared" ca="1" si="23"/>
        <v>2</v>
      </c>
      <c r="O169" s="45">
        <f t="shared" ca="1" si="24"/>
        <v>400</v>
      </c>
      <c r="P169" s="82">
        <f t="shared" ca="1" si="18"/>
        <v>7.6000000000000005</v>
      </c>
      <c r="Q169" s="82">
        <f t="shared" ca="1" si="25"/>
        <v>407.6</v>
      </c>
    </row>
    <row r="170" spans="9:17">
      <c r="I170" s="45">
        <v>162</v>
      </c>
      <c r="J170" s="45">
        <f t="shared" ca="1" si="19"/>
        <v>76</v>
      </c>
      <c r="K170" s="45">
        <f t="shared" ca="1" si="20"/>
        <v>52</v>
      </c>
      <c r="L170" s="45">
        <f t="shared" ca="1" si="22"/>
        <v>24</v>
      </c>
      <c r="M170" s="45">
        <f t="shared" ca="1" si="21"/>
        <v>0</v>
      </c>
      <c r="N170" s="45">
        <f t="shared" ca="1" si="23"/>
        <v>0</v>
      </c>
      <c r="O170" s="45">
        <f t="shared" ca="1" si="24"/>
        <v>0</v>
      </c>
      <c r="P170" s="82">
        <f t="shared" ca="1" si="18"/>
        <v>2.4000000000000004</v>
      </c>
      <c r="Q170" s="82">
        <f t="shared" ca="1" si="25"/>
        <v>2.4000000000000004</v>
      </c>
    </row>
    <row r="171" spans="9:17">
      <c r="I171" s="45">
        <v>163</v>
      </c>
      <c r="J171" s="45">
        <f t="shared" ca="1" si="19"/>
        <v>222</v>
      </c>
      <c r="K171" s="45">
        <f t="shared" ca="1" si="20"/>
        <v>54</v>
      </c>
      <c r="L171" s="45">
        <f t="shared" ca="1" si="22"/>
        <v>168</v>
      </c>
      <c r="M171" s="45">
        <f t="shared" ca="1" si="21"/>
        <v>0</v>
      </c>
      <c r="N171" s="45">
        <f t="shared" ca="1" si="23"/>
        <v>0</v>
      </c>
      <c r="O171" s="45">
        <f t="shared" ca="1" si="24"/>
        <v>0</v>
      </c>
      <c r="P171" s="82">
        <f t="shared" ca="1" si="18"/>
        <v>16.8</v>
      </c>
      <c r="Q171" s="82">
        <f t="shared" ca="1" si="25"/>
        <v>16.8</v>
      </c>
    </row>
    <row r="172" spans="9:17">
      <c r="I172" s="45">
        <v>164</v>
      </c>
      <c r="J172" s="45">
        <f t="shared" ca="1" si="19"/>
        <v>168</v>
      </c>
      <c r="K172" s="45">
        <f t="shared" ca="1" si="20"/>
        <v>51</v>
      </c>
      <c r="L172" s="45">
        <f t="shared" ca="1" si="22"/>
        <v>117</v>
      </c>
      <c r="M172" s="45">
        <f t="shared" ca="1" si="21"/>
        <v>0</v>
      </c>
      <c r="N172" s="45">
        <f t="shared" ca="1" si="23"/>
        <v>0</v>
      </c>
      <c r="O172" s="45">
        <f t="shared" ca="1" si="24"/>
        <v>0</v>
      </c>
      <c r="P172" s="82">
        <f t="shared" ca="1" si="18"/>
        <v>11.700000000000001</v>
      </c>
      <c r="Q172" s="82">
        <f t="shared" ca="1" si="25"/>
        <v>11.700000000000001</v>
      </c>
    </row>
    <row r="173" spans="9:17">
      <c r="I173" s="45">
        <v>165</v>
      </c>
      <c r="J173" s="45">
        <f t="shared" ca="1" si="19"/>
        <v>117</v>
      </c>
      <c r="K173" s="45">
        <f t="shared" ca="1" si="20"/>
        <v>52</v>
      </c>
      <c r="L173" s="45">
        <f t="shared" ca="1" si="22"/>
        <v>65</v>
      </c>
      <c r="M173" s="45">
        <f t="shared" ca="1" si="21"/>
        <v>1</v>
      </c>
      <c r="N173" s="45">
        <f t="shared" ca="1" si="23"/>
        <v>1</v>
      </c>
      <c r="O173" s="45">
        <f t="shared" ca="1" si="24"/>
        <v>400</v>
      </c>
      <c r="P173" s="82">
        <f t="shared" ca="1" si="18"/>
        <v>6.5</v>
      </c>
      <c r="Q173" s="82">
        <f t="shared" ca="1" si="25"/>
        <v>406.5</v>
      </c>
    </row>
    <row r="174" spans="9:17">
      <c r="I174" s="45">
        <v>166</v>
      </c>
      <c r="J174" s="45">
        <f t="shared" ca="1" si="19"/>
        <v>263</v>
      </c>
      <c r="K174" s="45">
        <f t="shared" ca="1" si="20"/>
        <v>53</v>
      </c>
      <c r="L174" s="45">
        <f t="shared" ca="1" si="22"/>
        <v>210</v>
      </c>
      <c r="M174" s="45">
        <f t="shared" ca="1" si="21"/>
        <v>0</v>
      </c>
      <c r="N174" s="45">
        <f t="shared" ca="1" si="23"/>
        <v>0</v>
      </c>
      <c r="O174" s="45">
        <f t="shared" ca="1" si="24"/>
        <v>0</v>
      </c>
      <c r="P174" s="82">
        <f t="shared" ca="1" si="18"/>
        <v>21</v>
      </c>
      <c r="Q174" s="82">
        <f t="shared" ca="1" si="25"/>
        <v>21</v>
      </c>
    </row>
    <row r="175" spans="9:17">
      <c r="I175" s="45">
        <v>167</v>
      </c>
      <c r="J175" s="45">
        <f t="shared" ca="1" si="19"/>
        <v>210</v>
      </c>
      <c r="K175" s="45">
        <f t="shared" ca="1" si="20"/>
        <v>55</v>
      </c>
      <c r="L175" s="45">
        <f t="shared" ca="1" si="22"/>
        <v>155</v>
      </c>
      <c r="M175" s="45">
        <f t="shared" ca="1" si="21"/>
        <v>0</v>
      </c>
      <c r="N175" s="45">
        <f t="shared" ca="1" si="23"/>
        <v>0</v>
      </c>
      <c r="O175" s="45">
        <f t="shared" ca="1" si="24"/>
        <v>0</v>
      </c>
      <c r="P175" s="82">
        <f t="shared" ca="1" si="18"/>
        <v>15.5</v>
      </c>
      <c r="Q175" s="82">
        <f t="shared" ca="1" si="25"/>
        <v>15.5</v>
      </c>
    </row>
    <row r="176" spans="9:17">
      <c r="I176" s="45">
        <v>168</v>
      </c>
      <c r="J176" s="45">
        <f t="shared" ca="1" si="19"/>
        <v>155</v>
      </c>
      <c r="K176" s="45">
        <f t="shared" ca="1" si="20"/>
        <v>51</v>
      </c>
      <c r="L176" s="45">
        <f t="shared" ca="1" si="22"/>
        <v>104</v>
      </c>
      <c r="M176" s="45">
        <f t="shared" ca="1" si="21"/>
        <v>1</v>
      </c>
      <c r="N176" s="45">
        <f t="shared" ca="1" si="23"/>
        <v>2</v>
      </c>
      <c r="O176" s="45">
        <f t="shared" ca="1" si="24"/>
        <v>400</v>
      </c>
      <c r="P176" s="82">
        <f t="shared" ca="1" si="18"/>
        <v>10.4</v>
      </c>
      <c r="Q176" s="82">
        <f t="shared" ca="1" si="25"/>
        <v>410.4</v>
      </c>
    </row>
    <row r="177" spans="9:17">
      <c r="I177" s="45">
        <v>169</v>
      </c>
      <c r="J177" s="45">
        <f t="shared" ca="1" si="19"/>
        <v>104</v>
      </c>
      <c r="K177" s="45">
        <f t="shared" ca="1" si="20"/>
        <v>54</v>
      </c>
      <c r="L177" s="45">
        <f t="shared" ca="1" si="22"/>
        <v>50</v>
      </c>
      <c r="M177" s="45">
        <f t="shared" ca="1" si="21"/>
        <v>0</v>
      </c>
      <c r="N177" s="45">
        <f t="shared" ca="1" si="23"/>
        <v>0</v>
      </c>
      <c r="O177" s="45">
        <f t="shared" ca="1" si="24"/>
        <v>0</v>
      </c>
      <c r="P177" s="82">
        <f t="shared" ca="1" si="18"/>
        <v>5</v>
      </c>
      <c r="Q177" s="82">
        <f t="shared" ca="1" si="25"/>
        <v>5</v>
      </c>
    </row>
    <row r="178" spans="9:17">
      <c r="I178" s="45">
        <v>170</v>
      </c>
      <c r="J178" s="45">
        <f t="shared" ca="1" si="19"/>
        <v>248</v>
      </c>
      <c r="K178" s="45">
        <f t="shared" ca="1" si="20"/>
        <v>53</v>
      </c>
      <c r="L178" s="45">
        <f t="shared" ca="1" si="22"/>
        <v>195</v>
      </c>
      <c r="M178" s="45">
        <f t="shared" ca="1" si="21"/>
        <v>0</v>
      </c>
      <c r="N178" s="45">
        <f t="shared" ca="1" si="23"/>
        <v>0</v>
      </c>
      <c r="O178" s="45">
        <f t="shared" ca="1" si="24"/>
        <v>0</v>
      </c>
      <c r="P178" s="82">
        <f t="shared" ca="1" si="18"/>
        <v>19.5</v>
      </c>
      <c r="Q178" s="82">
        <f t="shared" ca="1" si="25"/>
        <v>19.5</v>
      </c>
    </row>
    <row r="179" spans="9:17">
      <c r="I179" s="45">
        <v>171</v>
      </c>
      <c r="J179" s="45">
        <f t="shared" ca="1" si="19"/>
        <v>195</v>
      </c>
      <c r="K179" s="45">
        <f t="shared" ca="1" si="20"/>
        <v>53</v>
      </c>
      <c r="L179" s="45">
        <f t="shared" ca="1" si="22"/>
        <v>142</v>
      </c>
      <c r="M179" s="45">
        <f t="shared" ca="1" si="21"/>
        <v>0</v>
      </c>
      <c r="N179" s="45">
        <f t="shared" ca="1" si="23"/>
        <v>0</v>
      </c>
      <c r="O179" s="45">
        <f t="shared" ca="1" si="24"/>
        <v>0</v>
      </c>
      <c r="P179" s="82">
        <f t="shared" ca="1" si="18"/>
        <v>14.200000000000001</v>
      </c>
      <c r="Q179" s="82">
        <f t="shared" ca="1" si="25"/>
        <v>14.200000000000001</v>
      </c>
    </row>
    <row r="180" spans="9:17">
      <c r="I180" s="45">
        <v>172</v>
      </c>
      <c r="J180" s="45">
        <f t="shared" ca="1" si="19"/>
        <v>142</v>
      </c>
      <c r="K180" s="45">
        <f t="shared" ca="1" si="20"/>
        <v>52</v>
      </c>
      <c r="L180" s="45">
        <f t="shared" ca="1" si="22"/>
        <v>90</v>
      </c>
      <c r="M180" s="45">
        <f t="shared" ca="1" si="21"/>
        <v>1</v>
      </c>
      <c r="N180" s="45">
        <f t="shared" ca="1" si="23"/>
        <v>1</v>
      </c>
      <c r="O180" s="45">
        <f t="shared" ca="1" si="24"/>
        <v>400</v>
      </c>
      <c r="P180" s="82">
        <f t="shared" ca="1" si="18"/>
        <v>9</v>
      </c>
      <c r="Q180" s="82">
        <f t="shared" ca="1" si="25"/>
        <v>409</v>
      </c>
    </row>
    <row r="181" spans="9:17">
      <c r="I181" s="45">
        <v>173</v>
      </c>
      <c r="J181" s="45">
        <f t="shared" ca="1" si="19"/>
        <v>288</v>
      </c>
      <c r="K181" s="45">
        <f t="shared" ca="1" si="20"/>
        <v>55</v>
      </c>
      <c r="L181" s="45">
        <f t="shared" ca="1" si="22"/>
        <v>233</v>
      </c>
      <c r="M181" s="45">
        <f t="shared" ca="1" si="21"/>
        <v>0</v>
      </c>
      <c r="N181" s="45">
        <f t="shared" ca="1" si="23"/>
        <v>0</v>
      </c>
      <c r="O181" s="45">
        <f t="shared" ca="1" si="24"/>
        <v>0</v>
      </c>
      <c r="P181" s="82">
        <f t="shared" ca="1" si="18"/>
        <v>23.3</v>
      </c>
      <c r="Q181" s="82">
        <f t="shared" ca="1" si="25"/>
        <v>23.3</v>
      </c>
    </row>
    <row r="182" spans="9:17">
      <c r="I182" s="45">
        <v>174</v>
      </c>
      <c r="J182" s="45">
        <f t="shared" ca="1" si="19"/>
        <v>233</v>
      </c>
      <c r="K182" s="45">
        <f t="shared" ca="1" si="20"/>
        <v>53</v>
      </c>
      <c r="L182" s="45">
        <f t="shared" ca="1" si="22"/>
        <v>180</v>
      </c>
      <c r="M182" s="45">
        <f t="shared" ca="1" si="21"/>
        <v>0</v>
      </c>
      <c r="N182" s="45">
        <f t="shared" ca="1" si="23"/>
        <v>0</v>
      </c>
      <c r="O182" s="45">
        <f t="shared" ca="1" si="24"/>
        <v>0</v>
      </c>
      <c r="P182" s="82">
        <f t="shared" ca="1" si="18"/>
        <v>18</v>
      </c>
      <c r="Q182" s="82">
        <f t="shared" ca="1" si="25"/>
        <v>18</v>
      </c>
    </row>
    <row r="183" spans="9:17">
      <c r="I183" s="45">
        <v>175</v>
      </c>
      <c r="J183" s="45">
        <f t="shared" ca="1" si="19"/>
        <v>180</v>
      </c>
      <c r="K183" s="45">
        <f t="shared" ca="1" si="20"/>
        <v>53</v>
      </c>
      <c r="L183" s="45">
        <f t="shared" ca="1" si="22"/>
        <v>127</v>
      </c>
      <c r="M183" s="45">
        <f t="shared" ca="1" si="21"/>
        <v>0</v>
      </c>
      <c r="N183" s="45">
        <f t="shared" ca="1" si="23"/>
        <v>0</v>
      </c>
      <c r="O183" s="45">
        <f t="shared" ca="1" si="24"/>
        <v>0</v>
      </c>
      <c r="P183" s="82">
        <f t="shared" ca="1" si="18"/>
        <v>12.700000000000001</v>
      </c>
      <c r="Q183" s="82">
        <f t="shared" ca="1" si="25"/>
        <v>12.700000000000001</v>
      </c>
    </row>
    <row r="184" spans="9:17">
      <c r="I184" s="45">
        <v>176</v>
      </c>
      <c r="J184" s="45">
        <f t="shared" ca="1" si="19"/>
        <v>127</v>
      </c>
      <c r="K184" s="45">
        <f t="shared" ca="1" si="20"/>
        <v>54</v>
      </c>
      <c r="L184" s="45">
        <f t="shared" ca="1" si="22"/>
        <v>73</v>
      </c>
      <c r="M184" s="45">
        <f t="shared" ca="1" si="21"/>
        <v>1</v>
      </c>
      <c r="N184" s="45">
        <f t="shared" ca="1" si="23"/>
        <v>2</v>
      </c>
      <c r="O184" s="45">
        <f t="shared" ca="1" si="24"/>
        <v>400</v>
      </c>
      <c r="P184" s="82">
        <f t="shared" ca="1" si="18"/>
        <v>7.3000000000000007</v>
      </c>
      <c r="Q184" s="82">
        <f t="shared" ca="1" si="25"/>
        <v>407.3</v>
      </c>
    </row>
    <row r="185" spans="9:17">
      <c r="I185" s="45">
        <v>177</v>
      </c>
      <c r="J185" s="45">
        <f t="shared" ca="1" si="19"/>
        <v>73</v>
      </c>
      <c r="K185" s="45">
        <f t="shared" ca="1" si="20"/>
        <v>54</v>
      </c>
      <c r="L185" s="45">
        <f t="shared" ca="1" si="22"/>
        <v>19</v>
      </c>
      <c r="M185" s="45">
        <f t="shared" ca="1" si="21"/>
        <v>0</v>
      </c>
      <c r="N185" s="45">
        <f t="shared" ca="1" si="23"/>
        <v>0</v>
      </c>
      <c r="O185" s="45">
        <f t="shared" ca="1" si="24"/>
        <v>0</v>
      </c>
      <c r="P185" s="82">
        <f t="shared" ca="1" si="18"/>
        <v>1.9000000000000001</v>
      </c>
      <c r="Q185" s="82">
        <f t="shared" ca="1" si="25"/>
        <v>1.9000000000000001</v>
      </c>
    </row>
    <row r="186" spans="9:17">
      <c r="I186" s="45">
        <v>178</v>
      </c>
      <c r="J186" s="45">
        <f t="shared" ca="1" si="19"/>
        <v>217</v>
      </c>
      <c r="K186" s="45">
        <f t="shared" ca="1" si="20"/>
        <v>55</v>
      </c>
      <c r="L186" s="45">
        <f t="shared" ca="1" si="22"/>
        <v>162</v>
      </c>
      <c r="M186" s="45">
        <f t="shared" ca="1" si="21"/>
        <v>0</v>
      </c>
      <c r="N186" s="45">
        <f t="shared" ca="1" si="23"/>
        <v>0</v>
      </c>
      <c r="O186" s="45">
        <f t="shared" ca="1" si="24"/>
        <v>0</v>
      </c>
      <c r="P186" s="82">
        <f t="shared" ca="1" si="18"/>
        <v>16.2</v>
      </c>
      <c r="Q186" s="82">
        <f t="shared" ca="1" si="25"/>
        <v>16.2</v>
      </c>
    </row>
    <row r="187" spans="9:17">
      <c r="I187" s="45">
        <v>179</v>
      </c>
      <c r="J187" s="45">
        <f t="shared" ca="1" si="19"/>
        <v>162</v>
      </c>
      <c r="K187" s="45">
        <f t="shared" ca="1" si="20"/>
        <v>51</v>
      </c>
      <c r="L187" s="45">
        <f t="shared" ca="1" si="22"/>
        <v>111</v>
      </c>
      <c r="M187" s="45">
        <f t="shared" ca="1" si="21"/>
        <v>0</v>
      </c>
      <c r="N187" s="45">
        <f t="shared" ca="1" si="23"/>
        <v>0</v>
      </c>
      <c r="O187" s="45">
        <f t="shared" ca="1" si="24"/>
        <v>0</v>
      </c>
      <c r="P187" s="82">
        <f t="shared" ca="1" si="18"/>
        <v>11.100000000000001</v>
      </c>
      <c r="Q187" s="82">
        <f t="shared" ca="1" si="25"/>
        <v>11.100000000000001</v>
      </c>
    </row>
    <row r="188" spans="9:17">
      <c r="I188" s="45">
        <v>180</v>
      </c>
      <c r="J188" s="45">
        <f t="shared" ca="1" si="19"/>
        <v>111</v>
      </c>
      <c r="K188" s="45">
        <f t="shared" ca="1" si="20"/>
        <v>52</v>
      </c>
      <c r="L188" s="45">
        <f t="shared" ca="1" si="22"/>
        <v>59</v>
      </c>
      <c r="M188" s="45">
        <f t="shared" ca="1" si="21"/>
        <v>1</v>
      </c>
      <c r="N188" s="45">
        <f t="shared" ca="1" si="23"/>
        <v>2</v>
      </c>
      <c r="O188" s="45">
        <f t="shared" ca="1" si="24"/>
        <v>400</v>
      </c>
      <c r="P188" s="82">
        <f t="shared" ca="1" si="18"/>
        <v>5.9</v>
      </c>
      <c r="Q188" s="82">
        <f t="shared" ca="1" si="25"/>
        <v>405.9</v>
      </c>
    </row>
    <row r="189" spans="9:17">
      <c r="I189" s="45">
        <v>181</v>
      </c>
      <c r="J189" s="45">
        <f t="shared" ca="1" si="19"/>
        <v>59</v>
      </c>
      <c r="K189" s="45">
        <f t="shared" ca="1" si="20"/>
        <v>54</v>
      </c>
      <c r="L189" s="45">
        <f t="shared" ca="1" si="22"/>
        <v>5</v>
      </c>
      <c r="M189" s="45">
        <f t="shared" ca="1" si="21"/>
        <v>0</v>
      </c>
      <c r="N189" s="45">
        <f t="shared" ca="1" si="23"/>
        <v>0</v>
      </c>
      <c r="O189" s="45">
        <f t="shared" ca="1" si="24"/>
        <v>0</v>
      </c>
      <c r="P189" s="82">
        <f t="shared" ca="1" si="18"/>
        <v>0.5</v>
      </c>
      <c r="Q189" s="82">
        <f t="shared" ca="1" si="25"/>
        <v>0.5</v>
      </c>
    </row>
    <row r="190" spans="9:17">
      <c r="I190" s="45">
        <v>182</v>
      </c>
      <c r="J190" s="45">
        <f t="shared" ca="1" si="19"/>
        <v>203</v>
      </c>
      <c r="K190" s="45">
        <f t="shared" ca="1" si="20"/>
        <v>51</v>
      </c>
      <c r="L190" s="45">
        <f t="shared" ca="1" si="22"/>
        <v>152</v>
      </c>
      <c r="M190" s="45">
        <f t="shared" ca="1" si="21"/>
        <v>0</v>
      </c>
      <c r="N190" s="45">
        <f t="shared" ca="1" si="23"/>
        <v>0</v>
      </c>
      <c r="O190" s="45">
        <f t="shared" ca="1" si="24"/>
        <v>0</v>
      </c>
      <c r="P190" s="82">
        <f t="shared" ca="1" si="18"/>
        <v>15.200000000000001</v>
      </c>
      <c r="Q190" s="82">
        <f t="shared" ca="1" si="25"/>
        <v>15.200000000000001</v>
      </c>
    </row>
    <row r="191" spans="9:17">
      <c r="I191" s="45">
        <v>183</v>
      </c>
      <c r="J191" s="45">
        <f t="shared" ca="1" si="19"/>
        <v>152</v>
      </c>
      <c r="K191" s="45">
        <f t="shared" ca="1" si="20"/>
        <v>51</v>
      </c>
      <c r="L191" s="45">
        <f t="shared" ca="1" si="22"/>
        <v>101</v>
      </c>
      <c r="M191" s="45">
        <f t="shared" ca="1" si="21"/>
        <v>1</v>
      </c>
      <c r="N191" s="45">
        <f t="shared" ca="1" si="23"/>
        <v>1</v>
      </c>
      <c r="O191" s="45">
        <f t="shared" ca="1" si="24"/>
        <v>400</v>
      </c>
      <c r="P191" s="82">
        <f t="shared" ca="1" si="18"/>
        <v>10.100000000000001</v>
      </c>
      <c r="Q191" s="82">
        <f t="shared" ca="1" si="25"/>
        <v>410.1</v>
      </c>
    </row>
    <row r="192" spans="9:17">
      <c r="I192" s="45">
        <v>184</v>
      </c>
      <c r="J192" s="45">
        <f t="shared" ca="1" si="19"/>
        <v>299</v>
      </c>
      <c r="K192" s="45">
        <f t="shared" ca="1" si="20"/>
        <v>55</v>
      </c>
      <c r="L192" s="45">
        <f t="shared" ca="1" si="22"/>
        <v>244</v>
      </c>
      <c r="M192" s="45">
        <f t="shared" ca="1" si="21"/>
        <v>0</v>
      </c>
      <c r="N192" s="45">
        <f t="shared" ca="1" si="23"/>
        <v>0</v>
      </c>
      <c r="O192" s="45">
        <f t="shared" ca="1" si="24"/>
        <v>0</v>
      </c>
      <c r="P192" s="82">
        <f t="shared" ca="1" si="18"/>
        <v>24.400000000000002</v>
      </c>
      <c r="Q192" s="82">
        <f t="shared" ca="1" si="25"/>
        <v>24.400000000000002</v>
      </c>
    </row>
    <row r="193" spans="9:17">
      <c r="I193" s="45">
        <v>185</v>
      </c>
      <c r="J193" s="45">
        <f t="shared" ca="1" si="19"/>
        <v>244</v>
      </c>
      <c r="K193" s="45">
        <f t="shared" ca="1" si="20"/>
        <v>53</v>
      </c>
      <c r="L193" s="45">
        <f t="shared" ca="1" si="22"/>
        <v>191</v>
      </c>
      <c r="M193" s="45">
        <f t="shared" ca="1" si="21"/>
        <v>0</v>
      </c>
      <c r="N193" s="45">
        <f t="shared" ca="1" si="23"/>
        <v>0</v>
      </c>
      <c r="O193" s="45">
        <f t="shared" ca="1" si="24"/>
        <v>0</v>
      </c>
      <c r="P193" s="82">
        <f t="shared" ca="1" si="18"/>
        <v>19.100000000000001</v>
      </c>
      <c r="Q193" s="82">
        <f t="shared" ca="1" si="25"/>
        <v>19.100000000000001</v>
      </c>
    </row>
    <row r="194" spans="9:17">
      <c r="I194" s="45">
        <v>186</v>
      </c>
      <c r="J194" s="45">
        <f t="shared" ca="1" si="19"/>
        <v>191</v>
      </c>
      <c r="K194" s="45">
        <f t="shared" ca="1" si="20"/>
        <v>52</v>
      </c>
      <c r="L194" s="45">
        <f t="shared" ca="1" si="22"/>
        <v>139</v>
      </c>
      <c r="M194" s="45">
        <f t="shared" ca="1" si="21"/>
        <v>0</v>
      </c>
      <c r="N194" s="45">
        <f t="shared" ca="1" si="23"/>
        <v>0</v>
      </c>
      <c r="O194" s="45">
        <f t="shared" ca="1" si="24"/>
        <v>0</v>
      </c>
      <c r="P194" s="82">
        <f t="shared" ca="1" si="18"/>
        <v>13.9</v>
      </c>
      <c r="Q194" s="82">
        <f t="shared" ca="1" si="25"/>
        <v>13.9</v>
      </c>
    </row>
    <row r="195" spans="9:17">
      <c r="I195" s="45">
        <v>187</v>
      </c>
      <c r="J195" s="45">
        <f t="shared" ca="1" si="19"/>
        <v>139</v>
      </c>
      <c r="K195" s="45">
        <f t="shared" ca="1" si="20"/>
        <v>54</v>
      </c>
      <c r="L195" s="45">
        <f t="shared" ca="1" si="22"/>
        <v>85</v>
      </c>
      <c r="M195" s="45">
        <f t="shared" ca="1" si="21"/>
        <v>1</v>
      </c>
      <c r="N195" s="45">
        <f t="shared" ca="1" si="23"/>
        <v>2</v>
      </c>
      <c r="O195" s="45">
        <f t="shared" ca="1" si="24"/>
        <v>400</v>
      </c>
      <c r="P195" s="82">
        <f t="shared" ca="1" si="18"/>
        <v>8.5</v>
      </c>
      <c r="Q195" s="82">
        <f t="shared" ca="1" si="25"/>
        <v>408.5</v>
      </c>
    </row>
    <row r="196" spans="9:17">
      <c r="I196" s="45">
        <v>188</v>
      </c>
      <c r="J196" s="45">
        <f t="shared" ca="1" si="19"/>
        <v>85</v>
      </c>
      <c r="K196" s="45">
        <f t="shared" ca="1" si="20"/>
        <v>53</v>
      </c>
      <c r="L196" s="45">
        <f t="shared" ca="1" si="22"/>
        <v>32</v>
      </c>
      <c r="M196" s="45">
        <f t="shared" ca="1" si="21"/>
        <v>0</v>
      </c>
      <c r="N196" s="45">
        <f t="shared" ca="1" si="23"/>
        <v>0</v>
      </c>
      <c r="O196" s="45">
        <f t="shared" ca="1" si="24"/>
        <v>0</v>
      </c>
      <c r="P196" s="82">
        <f t="shared" ca="1" si="18"/>
        <v>3.2</v>
      </c>
      <c r="Q196" s="82">
        <f t="shared" ca="1" si="25"/>
        <v>3.2</v>
      </c>
    </row>
    <row r="197" spans="9:17">
      <c r="I197" s="45">
        <v>189</v>
      </c>
      <c r="J197" s="45">
        <f t="shared" ca="1" si="19"/>
        <v>230</v>
      </c>
      <c r="K197" s="45">
        <f t="shared" ca="1" si="20"/>
        <v>53</v>
      </c>
      <c r="L197" s="45">
        <f t="shared" ca="1" si="22"/>
        <v>177</v>
      </c>
      <c r="M197" s="45">
        <f t="shared" ca="1" si="21"/>
        <v>0</v>
      </c>
      <c r="N197" s="45">
        <f t="shared" ca="1" si="23"/>
        <v>0</v>
      </c>
      <c r="O197" s="45">
        <f t="shared" ca="1" si="24"/>
        <v>0</v>
      </c>
      <c r="P197" s="82">
        <f t="shared" ca="1" si="18"/>
        <v>17.7</v>
      </c>
      <c r="Q197" s="82">
        <f t="shared" ca="1" si="25"/>
        <v>17.7</v>
      </c>
    </row>
    <row r="198" spans="9:17">
      <c r="I198" s="45">
        <v>190</v>
      </c>
      <c r="J198" s="45">
        <f t="shared" ca="1" si="19"/>
        <v>177</v>
      </c>
      <c r="K198" s="45">
        <f t="shared" ca="1" si="20"/>
        <v>54</v>
      </c>
      <c r="L198" s="45">
        <f t="shared" ca="1" si="22"/>
        <v>123</v>
      </c>
      <c r="M198" s="45">
        <f t="shared" ca="1" si="21"/>
        <v>0</v>
      </c>
      <c r="N198" s="45">
        <f t="shared" ca="1" si="23"/>
        <v>0</v>
      </c>
      <c r="O198" s="45">
        <f t="shared" ca="1" si="24"/>
        <v>0</v>
      </c>
      <c r="P198" s="82">
        <f t="shared" ca="1" si="18"/>
        <v>12.3</v>
      </c>
      <c r="Q198" s="82">
        <f t="shared" ca="1" si="25"/>
        <v>12.3</v>
      </c>
    </row>
    <row r="199" spans="9:17">
      <c r="I199" s="45">
        <v>191</v>
      </c>
      <c r="J199" s="45">
        <f t="shared" ca="1" si="19"/>
        <v>123</v>
      </c>
      <c r="K199" s="45">
        <f t="shared" ca="1" si="20"/>
        <v>53</v>
      </c>
      <c r="L199" s="45">
        <f t="shared" ca="1" si="22"/>
        <v>70</v>
      </c>
      <c r="M199" s="45">
        <f t="shared" ca="1" si="21"/>
        <v>1</v>
      </c>
      <c r="N199" s="45">
        <f t="shared" ca="1" si="23"/>
        <v>2</v>
      </c>
      <c r="O199" s="45">
        <f t="shared" ca="1" si="24"/>
        <v>400</v>
      </c>
      <c r="P199" s="82">
        <f t="shared" ca="1" si="18"/>
        <v>7</v>
      </c>
      <c r="Q199" s="82">
        <f t="shared" ca="1" si="25"/>
        <v>407</v>
      </c>
    </row>
    <row r="200" spans="9:17">
      <c r="I200" s="45">
        <v>192</v>
      </c>
      <c r="J200" s="45">
        <f t="shared" ca="1" si="19"/>
        <v>70</v>
      </c>
      <c r="K200" s="45">
        <f t="shared" ca="1" si="20"/>
        <v>53</v>
      </c>
      <c r="L200" s="45">
        <f t="shared" ca="1" si="22"/>
        <v>17</v>
      </c>
      <c r="M200" s="45">
        <f t="shared" ca="1" si="21"/>
        <v>0</v>
      </c>
      <c r="N200" s="45">
        <f t="shared" ca="1" si="23"/>
        <v>0</v>
      </c>
      <c r="O200" s="45">
        <f t="shared" ca="1" si="24"/>
        <v>0</v>
      </c>
      <c r="P200" s="82">
        <f t="shared" ca="1" si="18"/>
        <v>1.7000000000000002</v>
      </c>
      <c r="Q200" s="82">
        <f t="shared" ca="1" si="25"/>
        <v>1.7000000000000002</v>
      </c>
    </row>
    <row r="201" spans="9:17">
      <c r="I201" s="45">
        <v>193</v>
      </c>
      <c r="J201" s="45">
        <f t="shared" ca="1" si="19"/>
        <v>215</v>
      </c>
      <c r="K201" s="45">
        <f t="shared" ca="1" si="20"/>
        <v>53</v>
      </c>
      <c r="L201" s="45">
        <f t="shared" ca="1" si="22"/>
        <v>162</v>
      </c>
      <c r="M201" s="45">
        <f t="shared" ca="1" si="21"/>
        <v>0</v>
      </c>
      <c r="N201" s="45">
        <f t="shared" ca="1" si="23"/>
        <v>0</v>
      </c>
      <c r="O201" s="45">
        <f t="shared" ca="1" si="24"/>
        <v>0</v>
      </c>
      <c r="P201" s="82">
        <f t="shared" ref="P201:P264" ca="1" si="26">L201*$C$5</f>
        <v>16.2</v>
      </c>
      <c r="Q201" s="82">
        <f t="shared" ca="1" si="25"/>
        <v>16.2</v>
      </c>
    </row>
    <row r="202" spans="9:17">
      <c r="I202" s="45">
        <v>194</v>
      </c>
      <c r="J202" s="45">
        <f t="shared" ref="J202:J265" ca="1" si="27">L201+IF(N201=1,$C$6,0)+IF(N200=2,$C$6,0)</f>
        <v>162</v>
      </c>
      <c r="K202" s="45">
        <f t="shared" ref="K202:K265" ca="1" si="28">INDEX($E$4:$E$9,MATCH(RAND(),$G$4:$G$10,1))</f>
        <v>52</v>
      </c>
      <c r="L202" s="45">
        <f t="shared" ca="1" si="22"/>
        <v>110</v>
      </c>
      <c r="M202" s="45">
        <f t="shared" ref="M202:M265" ca="1" si="29">IF(L202&lt;2*K203,IF(N201=2,0,1),0)</f>
        <v>0</v>
      </c>
      <c r="N202" s="45">
        <f t="shared" ca="1" si="23"/>
        <v>0</v>
      </c>
      <c r="O202" s="45">
        <f t="shared" ca="1" si="24"/>
        <v>0</v>
      </c>
      <c r="P202" s="82">
        <f t="shared" ca="1" si="26"/>
        <v>11</v>
      </c>
      <c r="Q202" s="82">
        <f t="shared" ca="1" si="25"/>
        <v>11</v>
      </c>
    </row>
    <row r="203" spans="9:17">
      <c r="I203" s="45">
        <v>195</v>
      </c>
      <c r="J203" s="45">
        <f t="shared" ca="1" si="27"/>
        <v>110</v>
      </c>
      <c r="K203" s="45">
        <f t="shared" ca="1" si="28"/>
        <v>54</v>
      </c>
      <c r="L203" s="45">
        <f t="shared" ref="L203:L266" ca="1" si="30">J203-K203</f>
        <v>56</v>
      </c>
      <c r="M203" s="45">
        <f t="shared" ca="1" si="29"/>
        <v>1</v>
      </c>
      <c r="N203" s="45">
        <f t="shared" ref="N203:N266" ca="1" si="31">IF(M203=1,RANDBETWEEN(1,2),0)</f>
        <v>1</v>
      </c>
      <c r="O203" s="45">
        <f t="shared" ref="O203:O266" ca="1" si="32">IF(M203=1,$C$3,0)</f>
        <v>400</v>
      </c>
      <c r="P203" s="82">
        <f t="shared" ca="1" si="26"/>
        <v>5.6000000000000005</v>
      </c>
      <c r="Q203" s="82">
        <f t="shared" ref="Q203:Q266" ca="1" si="33">O203+P203</f>
        <v>405.6</v>
      </c>
    </row>
    <row r="204" spans="9:17">
      <c r="I204" s="45">
        <v>196</v>
      </c>
      <c r="J204" s="45">
        <f t="shared" ca="1" si="27"/>
        <v>254</v>
      </c>
      <c r="K204" s="45">
        <f t="shared" ca="1" si="28"/>
        <v>53</v>
      </c>
      <c r="L204" s="45">
        <f t="shared" ca="1" si="30"/>
        <v>201</v>
      </c>
      <c r="M204" s="45">
        <f t="shared" ca="1" si="29"/>
        <v>0</v>
      </c>
      <c r="N204" s="45">
        <f t="shared" ca="1" si="31"/>
        <v>0</v>
      </c>
      <c r="O204" s="45">
        <f t="shared" ca="1" si="32"/>
        <v>0</v>
      </c>
      <c r="P204" s="82">
        <f t="shared" ca="1" si="26"/>
        <v>20.100000000000001</v>
      </c>
      <c r="Q204" s="82">
        <f t="shared" ca="1" si="33"/>
        <v>20.100000000000001</v>
      </c>
    </row>
    <row r="205" spans="9:17">
      <c r="I205" s="45">
        <v>197</v>
      </c>
      <c r="J205" s="45">
        <f t="shared" ca="1" si="27"/>
        <v>201</v>
      </c>
      <c r="K205" s="45">
        <f t="shared" ca="1" si="28"/>
        <v>52</v>
      </c>
      <c r="L205" s="45">
        <f t="shared" ca="1" si="30"/>
        <v>149</v>
      </c>
      <c r="M205" s="45">
        <f t="shared" ca="1" si="29"/>
        <v>0</v>
      </c>
      <c r="N205" s="45">
        <f t="shared" ca="1" si="31"/>
        <v>0</v>
      </c>
      <c r="O205" s="45">
        <f t="shared" ca="1" si="32"/>
        <v>0</v>
      </c>
      <c r="P205" s="82">
        <f t="shared" ca="1" si="26"/>
        <v>14.9</v>
      </c>
      <c r="Q205" s="82">
        <f t="shared" ca="1" si="33"/>
        <v>14.9</v>
      </c>
    </row>
    <row r="206" spans="9:17">
      <c r="I206" s="45">
        <v>198</v>
      </c>
      <c r="J206" s="45">
        <f t="shared" ca="1" si="27"/>
        <v>149</v>
      </c>
      <c r="K206" s="45">
        <f t="shared" ca="1" si="28"/>
        <v>52</v>
      </c>
      <c r="L206" s="45">
        <f t="shared" ca="1" si="30"/>
        <v>97</v>
      </c>
      <c r="M206" s="45">
        <f t="shared" ca="1" si="29"/>
        <v>1</v>
      </c>
      <c r="N206" s="45">
        <f t="shared" ca="1" si="31"/>
        <v>1</v>
      </c>
      <c r="O206" s="45">
        <f t="shared" ca="1" si="32"/>
        <v>400</v>
      </c>
      <c r="P206" s="82">
        <f t="shared" ca="1" si="26"/>
        <v>9.7000000000000011</v>
      </c>
      <c r="Q206" s="82">
        <f t="shared" ca="1" si="33"/>
        <v>409.7</v>
      </c>
    </row>
    <row r="207" spans="9:17">
      <c r="I207" s="45">
        <v>199</v>
      </c>
      <c r="J207" s="45">
        <f t="shared" ca="1" si="27"/>
        <v>295</v>
      </c>
      <c r="K207" s="45">
        <f t="shared" ca="1" si="28"/>
        <v>52</v>
      </c>
      <c r="L207" s="45">
        <f t="shared" ca="1" si="30"/>
        <v>243</v>
      </c>
      <c r="M207" s="45">
        <f t="shared" ca="1" si="29"/>
        <v>0</v>
      </c>
      <c r="N207" s="45">
        <f t="shared" ca="1" si="31"/>
        <v>0</v>
      </c>
      <c r="O207" s="45">
        <f t="shared" ca="1" si="32"/>
        <v>0</v>
      </c>
      <c r="P207" s="82">
        <f t="shared" ca="1" si="26"/>
        <v>24.3</v>
      </c>
      <c r="Q207" s="82">
        <f t="shared" ca="1" si="33"/>
        <v>24.3</v>
      </c>
    </row>
    <row r="208" spans="9:17">
      <c r="I208" s="45">
        <v>200</v>
      </c>
      <c r="J208" s="45">
        <f t="shared" ca="1" si="27"/>
        <v>243</v>
      </c>
      <c r="K208" s="45">
        <f t="shared" ca="1" si="28"/>
        <v>51</v>
      </c>
      <c r="L208" s="45">
        <f t="shared" ca="1" si="30"/>
        <v>192</v>
      </c>
      <c r="M208" s="45">
        <f t="shared" ca="1" si="29"/>
        <v>0</v>
      </c>
      <c r="N208" s="45">
        <f t="shared" ca="1" si="31"/>
        <v>0</v>
      </c>
      <c r="O208" s="45">
        <f t="shared" ca="1" si="32"/>
        <v>0</v>
      </c>
      <c r="P208" s="82">
        <f t="shared" ca="1" si="26"/>
        <v>19.200000000000003</v>
      </c>
      <c r="Q208" s="82">
        <f t="shared" ca="1" si="33"/>
        <v>19.200000000000003</v>
      </c>
    </row>
    <row r="209" spans="9:17">
      <c r="I209" s="45">
        <v>201</v>
      </c>
      <c r="J209" s="45">
        <f t="shared" ca="1" si="27"/>
        <v>192</v>
      </c>
      <c r="K209" s="45">
        <f t="shared" ca="1" si="28"/>
        <v>53</v>
      </c>
      <c r="L209" s="45">
        <f t="shared" ca="1" si="30"/>
        <v>139</v>
      </c>
      <c r="M209" s="45">
        <f t="shared" ca="1" si="29"/>
        <v>0</v>
      </c>
      <c r="N209" s="45">
        <f t="shared" ca="1" si="31"/>
        <v>0</v>
      </c>
      <c r="O209" s="45">
        <f t="shared" ca="1" si="32"/>
        <v>0</v>
      </c>
      <c r="P209" s="82">
        <f t="shared" ca="1" si="26"/>
        <v>13.9</v>
      </c>
      <c r="Q209" s="82">
        <f t="shared" ca="1" si="33"/>
        <v>13.9</v>
      </c>
    </row>
    <row r="210" spans="9:17">
      <c r="I210" s="45">
        <v>202</v>
      </c>
      <c r="J210" s="45">
        <f t="shared" ca="1" si="27"/>
        <v>139</v>
      </c>
      <c r="K210" s="45">
        <f t="shared" ca="1" si="28"/>
        <v>55</v>
      </c>
      <c r="L210" s="45">
        <f t="shared" ca="1" si="30"/>
        <v>84</v>
      </c>
      <c r="M210" s="45">
        <f t="shared" ca="1" si="29"/>
        <v>1</v>
      </c>
      <c r="N210" s="45">
        <f t="shared" ca="1" si="31"/>
        <v>1</v>
      </c>
      <c r="O210" s="45">
        <f t="shared" ca="1" si="32"/>
        <v>400</v>
      </c>
      <c r="P210" s="82">
        <f t="shared" ca="1" si="26"/>
        <v>8.4</v>
      </c>
      <c r="Q210" s="82">
        <f t="shared" ca="1" si="33"/>
        <v>408.4</v>
      </c>
    </row>
    <row r="211" spans="9:17">
      <c r="I211" s="45">
        <v>203</v>
      </c>
      <c r="J211" s="45">
        <f t="shared" ca="1" si="27"/>
        <v>282</v>
      </c>
      <c r="K211" s="45">
        <f t="shared" ca="1" si="28"/>
        <v>54</v>
      </c>
      <c r="L211" s="45">
        <f t="shared" ca="1" si="30"/>
        <v>228</v>
      </c>
      <c r="M211" s="45">
        <f t="shared" ca="1" si="29"/>
        <v>0</v>
      </c>
      <c r="N211" s="45">
        <f t="shared" ca="1" si="31"/>
        <v>0</v>
      </c>
      <c r="O211" s="45">
        <f t="shared" ca="1" si="32"/>
        <v>0</v>
      </c>
      <c r="P211" s="82">
        <f t="shared" ca="1" si="26"/>
        <v>22.8</v>
      </c>
      <c r="Q211" s="82">
        <f t="shared" ca="1" si="33"/>
        <v>22.8</v>
      </c>
    </row>
    <row r="212" spans="9:17">
      <c r="I212" s="45">
        <v>204</v>
      </c>
      <c r="J212" s="45">
        <f t="shared" ca="1" si="27"/>
        <v>228</v>
      </c>
      <c r="K212" s="45">
        <f t="shared" ca="1" si="28"/>
        <v>53</v>
      </c>
      <c r="L212" s="45">
        <f t="shared" ca="1" si="30"/>
        <v>175</v>
      </c>
      <c r="M212" s="45">
        <f t="shared" ca="1" si="29"/>
        <v>0</v>
      </c>
      <c r="N212" s="45">
        <f t="shared" ca="1" si="31"/>
        <v>0</v>
      </c>
      <c r="O212" s="45">
        <f t="shared" ca="1" si="32"/>
        <v>0</v>
      </c>
      <c r="P212" s="82">
        <f t="shared" ca="1" si="26"/>
        <v>17.5</v>
      </c>
      <c r="Q212" s="82">
        <f t="shared" ca="1" si="33"/>
        <v>17.5</v>
      </c>
    </row>
    <row r="213" spans="9:17">
      <c r="I213" s="45">
        <v>205</v>
      </c>
      <c r="J213" s="45">
        <f t="shared" ca="1" si="27"/>
        <v>175</v>
      </c>
      <c r="K213" s="45">
        <f t="shared" ca="1" si="28"/>
        <v>53</v>
      </c>
      <c r="L213" s="45">
        <f t="shared" ca="1" si="30"/>
        <v>122</v>
      </c>
      <c r="M213" s="45">
        <f t="shared" ca="1" si="29"/>
        <v>0</v>
      </c>
      <c r="N213" s="45">
        <f t="shared" ca="1" si="31"/>
        <v>0</v>
      </c>
      <c r="O213" s="45">
        <f t="shared" ca="1" si="32"/>
        <v>0</v>
      </c>
      <c r="P213" s="82">
        <f t="shared" ca="1" si="26"/>
        <v>12.200000000000001</v>
      </c>
      <c r="Q213" s="82">
        <f t="shared" ca="1" si="33"/>
        <v>12.200000000000001</v>
      </c>
    </row>
    <row r="214" spans="9:17">
      <c r="I214" s="45">
        <v>206</v>
      </c>
      <c r="J214" s="45">
        <f t="shared" ca="1" si="27"/>
        <v>122</v>
      </c>
      <c r="K214" s="45">
        <f t="shared" ca="1" si="28"/>
        <v>54</v>
      </c>
      <c r="L214" s="45">
        <f t="shared" ca="1" si="30"/>
        <v>68</v>
      </c>
      <c r="M214" s="45">
        <f t="shared" ca="1" si="29"/>
        <v>1</v>
      </c>
      <c r="N214" s="45">
        <f t="shared" ca="1" si="31"/>
        <v>1</v>
      </c>
      <c r="O214" s="45">
        <f t="shared" ca="1" si="32"/>
        <v>400</v>
      </c>
      <c r="P214" s="82">
        <f t="shared" ca="1" si="26"/>
        <v>6.8000000000000007</v>
      </c>
      <c r="Q214" s="82">
        <f t="shared" ca="1" si="33"/>
        <v>406.8</v>
      </c>
    </row>
    <row r="215" spans="9:17">
      <c r="I215" s="45">
        <v>207</v>
      </c>
      <c r="J215" s="45">
        <f t="shared" ca="1" si="27"/>
        <v>266</v>
      </c>
      <c r="K215" s="45">
        <f t="shared" ca="1" si="28"/>
        <v>54</v>
      </c>
      <c r="L215" s="45">
        <f t="shared" ca="1" si="30"/>
        <v>212</v>
      </c>
      <c r="M215" s="45">
        <f t="shared" ca="1" si="29"/>
        <v>0</v>
      </c>
      <c r="N215" s="45">
        <f t="shared" ca="1" si="31"/>
        <v>0</v>
      </c>
      <c r="O215" s="45">
        <f t="shared" ca="1" si="32"/>
        <v>0</v>
      </c>
      <c r="P215" s="82">
        <f t="shared" ca="1" si="26"/>
        <v>21.200000000000003</v>
      </c>
      <c r="Q215" s="82">
        <f t="shared" ca="1" si="33"/>
        <v>21.200000000000003</v>
      </c>
    </row>
    <row r="216" spans="9:17">
      <c r="I216" s="45">
        <v>208</v>
      </c>
      <c r="J216" s="45">
        <f t="shared" ca="1" si="27"/>
        <v>212</v>
      </c>
      <c r="K216" s="45">
        <f t="shared" ca="1" si="28"/>
        <v>52</v>
      </c>
      <c r="L216" s="45">
        <f t="shared" ca="1" si="30"/>
        <v>160</v>
      </c>
      <c r="M216" s="45">
        <f t="shared" ca="1" si="29"/>
        <v>0</v>
      </c>
      <c r="N216" s="45">
        <f t="shared" ca="1" si="31"/>
        <v>0</v>
      </c>
      <c r="O216" s="45">
        <f t="shared" ca="1" si="32"/>
        <v>0</v>
      </c>
      <c r="P216" s="82">
        <f t="shared" ca="1" si="26"/>
        <v>16</v>
      </c>
      <c r="Q216" s="82">
        <f t="shared" ca="1" si="33"/>
        <v>16</v>
      </c>
    </row>
    <row r="217" spans="9:17">
      <c r="I217" s="45">
        <v>209</v>
      </c>
      <c r="J217" s="45">
        <f t="shared" ca="1" si="27"/>
        <v>160</v>
      </c>
      <c r="K217" s="45">
        <f t="shared" ca="1" si="28"/>
        <v>52</v>
      </c>
      <c r="L217" s="45">
        <f t="shared" ca="1" si="30"/>
        <v>108</v>
      </c>
      <c r="M217" s="45">
        <f t="shared" ca="1" si="29"/>
        <v>0</v>
      </c>
      <c r="N217" s="45">
        <f t="shared" ca="1" si="31"/>
        <v>0</v>
      </c>
      <c r="O217" s="45">
        <f t="shared" ca="1" si="32"/>
        <v>0</v>
      </c>
      <c r="P217" s="82">
        <f t="shared" ca="1" si="26"/>
        <v>10.8</v>
      </c>
      <c r="Q217" s="82">
        <f t="shared" ca="1" si="33"/>
        <v>10.8</v>
      </c>
    </row>
    <row r="218" spans="9:17">
      <c r="I218" s="45">
        <v>210</v>
      </c>
      <c r="J218" s="45">
        <f t="shared" ca="1" si="27"/>
        <v>108</v>
      </c>
      <c r="K218" s="45">
        <f t="shared" ca="1" si="28"/>
        <v>52</v>
      </c>
      <c r="L218" s="45">
        <f t="shared" ca="1" si="30"/>
        <v>56</v>
      </c>
      <c r="M218" s="45">
        <f t="shared" ca="1" si="29"/>
        <v>1</v>
      </c>
      <c r="N218" s="45">
        <f t="shared" ca="1" si="31"/>
        <v>1</v>
      </c>
      <c r="O218" s="45">
        <f t="shared" ca="1" si="32"/>
        <v>400</v>
      </c>
      <c r="P218" s="82">
        <f t="shared" ca="1" si="26"/>
        <v>5.6000000000000005</v>
      </c>
      <c r="Q218" s="82">
        <f t="shared" ca="1" si="33"/>
        <v>405.6</v>
      </c>
    </row>
    <row r="219" spans="9:17">
      <c r="I219" s="45">
        <v>211</v>
      </c>
      <c r="J219" s="45">
        <f t="shared" ca="1" si="27"/>
        <v>254</v>
      </c>
      <c r="K219" s="45">
        <f t="shared" ca="1" si="28"/>
        <v>55</v>
      </c>
      <c r="L219" s="45">
        <f t="shared" ca="1" si="30"/>
        <v>199</v>
      </c>
      <c r="M219" s="45">
        <f t="shared" ca="1" si="29"/>
        <v>0</v>
      </c>
      <c r="N219" s="45">
        <f t="shared" ca="1" si="31"/>
        <v>0</v>
      </c>
      <c r="O219" s="45">
        <f t="shared" ca="1" si="32"/>
        <v>0</v>
      </c>
      <c r="P219" s="82">
        <f t="shared" ca="1" si="26"/>
        <v>19.900000000000002</v>
      </c>
      <c r="Q219" s="82">
        <f t="shared" ca="1" si="33"/>
        <v>19.900000000000002</v>
      </c>
    </row>
    <row r="220" spans="9:17">
      <c r="I220" s="45">
        <v>212</v>
      </c>
      <c r="J220" s="45">
        <f t="shared" ca="1" si="27"/>
        <v>199</v>
      </c>
      <c r="K220" s="45">
        <f t="shared" ca="1" si="28"/>
        <v>52</v>
      </c>
      <c r="L220" s="45">
        <f t="shared" ca="1" si="30"/>
        <v>147</v>
      </c>
      <c r="M220" s="45">
        <f t="shared" ca="1" si="29"/>
        <v>0</v>
      </c>
      <c r="N220" s="45">
        <f t="shared" ca="1" si="31"/>
        <v>0</v>
      </c>
      <c r="O220" s="45">
        <f t="shared" ca="1" si="32"/>
        <v>0</v>
      </c>
      <c r="P220" s="82">
        <f t="shared" ca="1" si="26"/>
        <v>14.700000000000001</v>
      </c>
      <c r="Q220" s="82">
        <f t="shared" ca="1" si="33"/>
        <v>14.700000000000001</v>
      </c>
    </row>
    <row r="221" spans="9:17">
      <c r="I221" s="45">
        <v>213</v>
      </c>
      <c r="J221" s="45">
        <f t="shared" ca="1" si="27"/>
        <v>147</v>
      </c>
      <c r="K221" s="45">
        <f t="shared" ca="1" si="28"/>
        <v>54</v>
      </c>
      <c r="L221" s="45">
        <f t="shared" ca="1" si="30"/>
        <v>93</v>
      </c>
      <c r="M221" s="45">
        <f t="shared" ca="1" si="29"/>
        <v>1</v>
      </c>
      <c r="N221" s="45">
        <f t="shared" ca="1" si="31"/>
        <v>1</v>
      </c>
      <c r="O221" s="45">
        <f t="shared" ca="1" si="32"/>
        <v>400</v>
      </c>
      <c r="P221" s="82">
        <f t="shared" ca="1" si="26"/>
        <v>9.3000000000000007</v>
      </c>
      <c r="Q221" s="82">
        <f t="shared" ca="1" si="33"/>
        <v>409.3</v>
      </c>
    </row>
    <row r="222" spans="9:17">
      <c r="I222" s="45">
        <v>214</v>
      </c>
      <c r="J222" s="45">
        <f t="shared" ca="1" si="27"/>
        <v>291</v>
      </c>
      <c r="K222" s="45">
        <f t="shared" ca="1" si="28"/>
        <v>51</v>
      </c>
      <c r="L222" s="45">
        <f t="shared" ca="1" si="30"/>
        <v>240</v>
      </c>
      <c r="M222" s="45">
        <f t="shared" ca="1" si="29"/>
        <v>0</v>
      </c>
      <c r="N222" s="45">
        <f t="shared" ca="1" si="31"/>
        <v>0</v>
      </c>
      <c r="O222" s="45">
        <f t="shared" ca="1" si="32"/>
        <v>0</v>
      </c>
      <c r="P222" s="82">
        <f t="shared" ca="1" si="26"/>
        <v>24</v>
      </c>
      <c r="Q222" s="82">
        <f t="shared" ca="1" si="33"/>
        <v>24</v>
      </c>
    </row>
    <row r="223" spans="9:17">
      <c r="I223" s="45">
        <v>215</v>
      </c>
      <c r="J223" s="45">
        <f t="shared" ca="1" si="27"/>
        <v>240</v>
      </c>
      <c r="K223" s="45">
        <f t="shared" ca="1" si="28"/>
        <v>55</v>
      </c>
      <c r="L223" s="45">
        <f t="shared" ca="1" si="30"/>
        <v>185</v>
      </c>
      <c r="M223" s="45">
        <f t="shared" ca="1" si="29"/>
        <v>0</v>
      </c>
      <c r="N223" s="45">
        <f t="shared" ca="1" si="31"/>
        <v>0</v>
      </c>
      <c r="O223" s="45">
        <f t="shared" ca="1" si="32"/>
        <v>0</v>
      </c>
      <c r="P223" s="82">
        <f t="shared" ca="1" si="26"/>
        <v>18.5</v>
      </c>
      <c r="Q223" s="82">
        <f t="shared" ca="1" si="33"/>
        <v>18.5</v>
      </c>
    </row>
    <row r="224" spans="9:17">
      <c r="I224" s="45">
        <v>216</v>
      </c>
      <c r="J224" s="45">
        <f t="shared" ca="1" si="27"/>
        <v>185</v>
      </c>
      <c r="K224" s="45">
        <f t="shared" ca="1" si="28"/>
        <v>52</v>
      </c>
      <c r="L224" s="45">
        <f t="shared" ca="1" si="30"/>
        <v>133</v>
      </c>
      <c r="M224" s="45">
        <f t="shared" ca="1" si="29"/>
        <v>0</v>
      </c>
      <c r="N224" s="45">
        <f t="shared" ca="1" si="31"/>
        <v>0</v>
      </c>
      <c r="O224" s="45">
        <f t="shared" ca="1" si="32"/>
        <v>0</v>
      </c>
      <c r="P224" s="82">
        <f t="shared" ca="1" si="26"/>
        <v>13.3</v>
      </c>
      <c r="Q224" s="82">
        <f t="shared" ca="1" si="33"/>
        <v>13.3</v>
      </c>
    </row>
    <row r="225" spans="9:17">
      <c r="I225" s="45">
        <v>217</v>
      </c>
      <c r="J225" s="45">
        <f t="shared" ca="1" si="27"/>
        <v>133</v>
      </c>
      <c r="K225" s="45">
        <f t="shared" ca="1" si="28"/>
        <v>52</v>
      </c>
      <c r="L225" s="45">
        <f t="shared" ca="1" si="30"/>
        <v>81</v>
      </c>
      <c r="M225" s="45">
        <f t="shared" ca="1" si="29"/>
        <v>1</v>
      </c>
      <c r="N225" s="45">
        <f t="shared" ca="1" si="31"/>
        <v>2</v>
      </c>
      <c r="O225" s="45">
        <f t="shared" ca="1" si="32"/>
        <v>400</v>
      </c>
      <c r="P225" s="82">
        <f t="shared" ca="1" si="26"/>
        <v>8.1</v>
      </c>
      <c r="Q225" s="82">
        <f t="shared" ca="1" si="33"/>
        <v>408.1</v>
      </c>
    </row>
    <row r="226" spans="9:17">
      <c r="I226" s="45">
        <v>218</v>
      </c>
      <c r="J226" s="45">
        <f t="shared" ca="1" si="27"/>
        <v>81</v>
      </c>
      <c r="K226" s="45">
        <f t="shared" ca="1" si="28"/>
        <v>55</v>
      </c>
      <c r="L226" s="45">
        <f t="shared" ca="1" si="30"/>
        <v>26</v>
      </c>
      <c r="M226" s="45">
        <f t="shared" ca="1" si="29"/>
        <v>0</v>
      </c>
      <c r="N226" s="45">
        <f t="shared" ca="1" si="31"/>
        <v>0</v>
      </c>
      <c r="O226" s="45">
        <f t="shared" ca="1" si="32"/>
        <v>0</v>
      </c>
      <c r="P226" s="82">
        <f t="shared" ca="1" si="26"/>
        <v>2.6</v>
      </c>
      <c r="Q226" s="82">
        <f t="shared" ca="1" si="33"/>
        <v>2.6</v>
      </c>
    </row>
    <row r="227" spans="9:17">
      <c r="I227" s="45">
        <v>219</v>
      </c>
      <c r="J227" s="45">
        <f t="shared" ca="1" si="27"/>
        <v>224</v>
      </c>
      <c r="K227" s="45">
        <f t="shared" ca="1" si="28"/>
        <v>53</v>
      </c>
      <c r="L227" s="45">
        <f t="shared" ca="1" si="30"/>
        <v>171</v>
      </c>
      <c r="M227" s="45">
        <f t="shared" ca="1" si="29"/>
        <v>0</v>
      </c>
      <c r="N227" s="45">
        <f t="shared" ca="1" si="31"/>
        <v>0</v>
      </c>
      <c r="O227" s="45">
        <f t="shared" ca="1" si="32"/>
        <v>0</v>
      </c>
      <c r="P227" s="82">
        <f t="shared" ca="1" si="26"/>
        <v>17.100000000000001</v>
      </c>
      <c r="Q227" s="82">
        <f t="shared" ca="1" si="33"/>
        <v>17.100000000000001</v>
      </c>
    </row>
    <row r="228" spans="9:17">
      <c r="I228" s="45">
        <v>220</v>
      </c>
      <c r="J228" s="45">
        <f t="shared" ca="1" si="27"/>
        <v>171</v>
      </c>
      <c r="K228" s="45">
        <f t="shared" ca="1" si="28"/>
        <v>54</v>
      </c>
      <c r="L228" s="45">
        <f t="shared" ca="1" si="30"/>
        <v>117</v>
      </c>
      <c r="M228" s="45">
        <f t="shared" ca="1" si="29"/>
        <v>0</v>
      </c>
      <c r="N228" s="45">
        <f t="shared" ca="1" si="31"/>
        <v>0</v>
      </c>
      <c r="O228" s="45">
        <f t="shared" ca="1" si="32"/>
        <v>0</v>
      </c>
      <c r="P228" s="82">
        <f t="shared" ca="1" si="26"/>
        <v>11.700000000000001</v>
      </c>
      <c r="Q228" s="82">
        <f t="shared" ca="1" si="33"/>
        <v>11.700000000000001</v>
      </c>
    </row>
    <row r="229" spans="9:17">
      <c r="I229" s="45">
        <v>221</v>
      </c>
      <c r="J229" s="45">
        <f t="shared" ca="1" si="27"/>
        <v>117</v>
      </c>
      <c r="K229" s="45">
        <f t="shared" ca="1" si="28"/>
        <v>52</v>
      </c>
      <c r="L229" s="45">
        <f t="shared" ca="1" si="30"/>
        <v>65</v>
      </c>
      <c r="M229" s="45">
        <f t="shared" ca="1" si="29"/>
        <v>1</v>
      </c>
      <c r="N229" s="45">
        <f t="shared" ca="1" si="31"/>
        <v>1</v>
      </c>
      <c r="O229" s="45">
        <f t="shared" ca="1" si="32"/>
        <v>400</v>
      </c>
      <c r="P229" s="82">
        <f t="shared" ca="1" si="26"/>
        <v>6.5</v>
      </c>
      <c r="Q229" s="82">
        <f t="shared" ca="1" si="33"/>
        <v>406.5</v>
      </c>
    </row>
    <row r="230" spans="9:17">
      <c r="I230" s="45">
        <v>222</v>
      </c>
      <c r="J230" s="45">
        <f t="shared" ca="1" si="27"/>
        <v>263</v>
      </c>
      <c r="K230" s="45">
        <f t="shared" ca="1" si="28"/>
        <v>53</v>
      </c>
      <c r="L230" s="45">
        <f t="shared" ca="1" si="30"/>
        <v>210</v>
      </c>
      <c r="M230" s="45">
        <f t="shared" ca="1" si="29"/>
        <v>0</v>
      </c>
      <c r="N230" s="45">
        <f t="shared" ca="1" si="31"/>
        <v>0</v>
      </c>
      <c r="O230" s="45">
        <f t="shared" ca="1" si="32"/>
        <v>0</v>
      </c>
      <c r="P230" s="82">
        <f t="shared" ca="1" si="26"/>
        <v>21</v>
      </c>
      <c r="Q230" s="82">
        <f t="shared" ca="1" si="33"/>
        <v>21</v>
      </c>
    </row>
    <row r="231" spans="9:17">
      <c r="I231" s="45">
        <v>223</v>
      </c>
      <c r="J231" s="45">
        <f t="shared" ca="1" si="27"/>
        <v>210</v>
      </c>
      <c r="K231" s="45">
        <f t="shared" ca="1" si="28"/>
        <v>52</v>
      </c>
      <c r="L231" s="45">
        <f t="shared" ca="1" si="30"/>
        <v>158</v>
      </c>
      <c r="M231" s="45">
        <f t="shared" ca="1" si="29"/>
        <v>0</v>
      </c>
      <c r="N231" s="45">
        <f t="shared" ca="1" si="31"/>
        <v>0</v>
      </c>
      <c r="O231" s="45">
        <f t="shared" ca="1" si="32"/>
        <v>0</v>
      </c>
      <c r="P231" s="82">
        <f t="shared" ca="1" si="26"/>
        <v>15.8</v>
      </c>
      <c r="Q231" s="82">
        <f t="shared" ca="1" si="33"/>
        <v>15.8</v>
      </c>
    </row>
    <row r="232" spans="9:17">
      <c r="I232" s="45">
        <v>224</v>
      </c>
      <c r="J232" s="45">
        <f t="shared" ca="1" si="27"/>
        <v>158</v>
      </c>
      <c r="K232" s="45">
        <f t="shared" ca="1" si="28"/>
        <v>54</v>
      </c>
      <c r="L232" s="45">
        <f t="shared" ca="1" si="30"/>
        <v>104</v>
      </c>
      <c r="M232" s="45">
        <f t="shared" ca="1" si="29"/>
        <v>0</v>
      </c>
      <c r="N232" s="45">
        <f t="shared" ca="1" si="31"/>
        <v>0</v>
      </c>
      <c r="O232" s="45">
        <f t="shared" ca="1" si="32"/>
        <v>0</v>
      </c>
      <c r="P232" s="82">
        <f t="shared" ca="1" si="26"/>
        <v>10.4</v>
      </c>
      <c r="Q232" s="82">
        <f t="shared" ca="1" si="33"/>
        <v>10.4</v>
      </c>
    </row>
    <row r="233" spans="9:17">
      <c r="I233" s="45">
        <v>225</v>
      </c>
      <c r="J233" s="45">
        <f t="shared" ca="1" si="27"/>
        <v>104</v>
      </c>
      <c r="K233" s="45">
        <f t="shared" ca="1" si="28"/>
        <v>52</v>
      </c>
      <c r="L233" s="45">
        <f t="shared" ca="1" si="30"/>
        <v>52</v>
      </c>
      <c r="M233" s="45">
        <f t="shared" ca="1" si="29"/>
        <v>1</v>
      </c>
      <c r="N233" s="45">
        <f t="shared" ca="1" si="31"/>
        <v>1</v>
      </c>
      <c r="O233" s="45">
        <f t="shared" ca="1" si="32"/>
        <v>400</v>
      </c>
      <c r="P233" s="82">
        <f t="shared" ca="1" si="26"/>
        <v>5.2</v>
      </c>
      <c r="Q233" s="82">
        <f t="shared" ca="1" si="33"/>
        <v>405.2</v>
      </c>
    </row>
    <row r="234" spans="9:17">
      <c r="I234" s="45">
        <v>226</v>
      </c>
      <c r="J234" s="45">
        <f t="shared" ca="1" si="27"/>
        <v>250</v>
      </c>
      <c r="K234" s="45">
        <f t="shared" ca="1" si="28"/>
        <v>52</v>
      </c>
      <c r="L234" s="45">
        <f t="shared" ca="1" si="30"/>
        <v>198</v>
      </c>
      <c r="M234" s="45">
        <f t="shared" ca="1" si="29"/>
        <v>0</v>
      </c>
      <c r="N234" s="45">
        <f t="shared" ca="1" si="31"/>
        <v>0</v>
      </c>
      <c r="O234" s="45">
        <f t="shared" ca="1" si="32"/>
        <v>0</v>
      </c>
      <c r="P234" s="82">
        <f t="shared" ca="1" si="26"/>
        <v>19.8</v>
      </c>
      <c r="Q234" s="82">
        <f t="shared" ca="1" si="33"/>
        <v>19.8</v>
      </c>
    </row>
    <row r="235" spans="9:17">
      <c r="I235" s="45">
        <v>227</v>
      </c>
      <c r="J235" s="45">
        <f t="shared" ca="1" si="27"/>
        <v>198</v>
      </c>
      <c r="K235" s="45">
        <f t="shared" ca="1" si="28"/>
        <v>53</v>
      </c>
      <c r="L235" s="45">
        <f t="shared" ca="1" si="30"/>
        <v>145</v>
      </c>
      <c r="M235" s="45">
        <f t="shared" ca="1" si="29"/>
        <v>0</v>
      </c>
      <c r="N235" s="45">
        <f t="shared" ca="1" si="31"/>
        <v>0</v>
      </c>
      <c r="O235" s="45">
        <f t="shared" ca="1" si="32"/>
        <v>0</v>
      </c>
      <c r="P235" s="82">
        <f t="shared" ca="1" si="26"/>
        <v>14.5</v>
      </c>
      <c r="Q235" s="82">
        <f t="shared" ca="1" si="33"/>
        <v>14.5</v>
      </c>
    </row>
    <row r="236" spans="9:17">
      <c r="I236" s="45">
        <v>228</v>
      </c>
      <c r="J236" s="45">
        <f t="shared" ca="1" si="27"/>
        <v>145</v>
      </c>
      <c r="K236" s="45">
        <f t="shared" ca="1" si="28"/>
        <v>51</v>
      </c>
      <c r="L236" s="45">
        <f t="shared" ca="1" si="30"/>
        <v>94</v>
      </c>
      <c r="M236" s="45">
        <f t="shared" ca="1" si="29"/>
        <v>1</v>
      </c>
      <c r="N236" s="45">
        <f t="shared" ca="1" si="31"/>
        <v>2</v>
      </c>
      <c r="O236" s="45">
        <f t="shared" ca="1" si="32"/>
        <v>400</v>
      </c>
      <c r="P236" s="82">
        <f t="shared" ca="1" si="26"/>
        <v>9.4</v>
      </c>
      <c r="Q236" s="82">
        <f t="shared" ca="1" si="33"/>
        <v>409.4</v>
      </c>
    </row>
    <row r="237" spans="9:17">
      <c r="I237" s="45">
        <v>229</v>
      </c>
      <c r="J237" s="45">
        <f t="shared" ca="1" si="27"/>
        <v>94</v>
      </c>
      <c r="K237" s="45">
        <f t="shared" ca="1" si="28"/>
        <v>53</v>
      </c>
      <c r="L237" s="45">
        <f t="shared" ca="1" si="30"/>
        <v>41</v>
      </c>
      <c r="M237" s="45">
        <f t="shared" ca="1" si="29"/>
        <v>0</v>
      </c>
      <c r="N237" s="45">
        <f t="shared" ca="1" si="31"/>
        <v>0</v>
      </c>
      <c r="O237" s="45">
        <f t="shared" ca="1" si="32"/>
        <v>0</v>
      </c>
      <c r="P237" s="82">
        <f t="shared" ca="1" si="26"/>
        <v>4.1000000000000005</v>
      </c>
      <c r="Q237" s="82">
        <f t="shared" ca="1" si="33"/>
        <v>4.1000000000000005</v>
      </c>
    </row>
    <row r="238" spans="9:17">
      <c r="I238" s="45">
        <v>230</v>
      </c>
      <c r="J238" s="45">
        <f t="shared" ca="1" si="27"/>
        <v>239</v>
      </c>
      <c r="K238" s="45">
        <f t="shared" ca="1" si="28"/>
        <v>54</v>
      </c>
      <c r="L238" s="45">
        <f t="shared" ca="1" si="30"/>
        <v>185</v>
      </c>
      <c r="M238" s="45">
        <f t="shared" ca="1" si="29"/>
        <v>0</v>
      </c>
      <c r="N238" s="45">
        <f t="shared" ca="1" si="31"/>
        <v>0</v>
      </c>
      <c r="O238" s="45">
        <f t="shared" ca="1" si="32"/>
        <v>0</v>
      </c>
      <c r="P238" s="82">
        <f t="shared" ca="1" si="26"/>
        <v>18.5</v>
      </c>
      <c r="Q238" s="82">
        <f t="shared" ca="1" si="33"/>
        <v>18.5</v>
      </c>
    </row>
    <row r="239" spans="9:17">
      <c r="I239" s="45">
        <v>231</v>
      </c>
      <c r="J239" s="45">
        <f t="shared" ca="1" si="27"/>
        <v>185</v>
      </c>
      <c r="K239" s="45">
        <f t="shared" ca="1" si="28"/>
        <v>52</v>
      </c>
      <c r="L239" s="45">
        <f t="shared" ca="1" si="30"/>
        <v>133</v>
      </c>
      <c r="M239" s="45">
        <f t="shared" ca="1" si="29"/>
        <v>0</v>
      </c>
      <c r="N239" s="45">
        <f t="shared" ca="1" si="31"/>
        <v>0</v>
      </c>
      <c r="O239" s="45">
        <f t="shared" ca="1" si="32"/>
        <v>0</v>
      </c>
      <c r="P239" s="82">
        <f t="shared" ca="1" si="26"/>
        <v>13.3</v>
      </c>
      <c r="Q239" s="82">
        <f t="shared" ca="1" si="33"/>
        <v>13.3</v>
      </c>
    </row>
    <row r="240" spans="9:17">
      <c r="I240" s="45">
        <v>232</v>
      </c>
      <c r="J240" s="45">
        <f t="shared" ca="1" si="27"/>
        <v>133</v>
      </c>
      <c r="K240" s="45">
        <f t="shared" ca="1" si="28"/>
        <v>52</v>
      </c>
      <c r="L240" s="45">
        <f t="shared" ca="1" si="30"/>
        <v>81</v>
      </c>
      <c r="M240" s="45">
        <f t="shared" ca="1" si="29"/>
        <v>1</v>
      </c>
      <c r="N240" s="45">
        <f t="shared" ca="1" si="31"/>
        <v>1</v>
      </c>
      <c r="O240" s="45">
        <f t="shared" ca="1" si="32"/>
        <v>400</v>
      </c>
      <c r="P240" s="82">
        <f t="shared" ca="1" si="26"/>
        <v>8.1</v>
      </c>
      <c r="Q240" s="82">
        <f t="shared" ca="1" si="33"/>
        <v>408.1</v>
      </c>
    </row>
    <row r="241" spans="9:17">
      <c r="I241" s="45">
        <v>233</v>
      </c>
      <c r="J241" s="45">
        <f t="shared" ca="1" si="27"/>
        <v>279</v>
      </c>
      <c r="K241" s="45">
        <f t="shared" ca="1" si="28"/>
        <v>52</v>
      </c>
      <c r="L241" s="45">
        <f t="shared" ca="1" si="30"/>
        <v>227</v>
      </c>
      <c r="M241" s="45">
        <f t="shared" ca="1" si="29"/>
        <v>0</v>
      </c>
      <c r="N241" s="45">
        <f t="shared" ca="1" si="31"/>
        <v>0</v>
      </c>
      <c r="O241" s="45">
        <f t="shared" ca="1" si="32"/>
        <v>0</v>
      </c>
      <c r="P241" s="82">
        <f t="shared" ca="1" si="26"/>
        <v>22.700000000000003</v>
      </c>
      <c r="Q241" s="82">
        <f t="shared" ca="1" si="33"/>
        <v>22.700000000000003</v>
      </c>
    </row>
    <row r="242" spans="9:17">
      <c r="I242" s="45">
        <v>234</v>
      </c>
      <c r="J242" s="45">
        <f t="shared" ca="1" si="27"/>
        <v>227</v>
      </c>
      <c r="K242" s="45">
        <f t="shared" ca="1" si="28"/>
        <v>53</v>
      </c>
      <c r="L242" s="45">
        <f t="shared" ca="1" si="30"/>
        <v>174</v>
      </c>
      <c r="M242" s="45">
        <f t="shared" ca="1" si="29"/>
        <v>0</v>
      </c>
      <c r="N242" s="45">
        <f t="shared" ca="1" si="31"/>
        <v>0</v>
      </c>
      <c r="O242" s="45">
        <f t="shared" ca="1" si="32"/>
        <v>0</v>
      </c>
      <c r="P242" s="82">
        <f t="shared" ca="1" si="26"/>
        <v>17.400000000000002</v>
      </c>
      <c r="Q242" s="82">
        <f t="shared" ca="1" si="33"/>
        <v>17.400000000000002</v>
      </c>
    </row>
    <row r="243" spans="9:17">
      <c r="I243" s="45">
        <v>235</v>
      </c>
      <c r="J243" s="45">
        <f t="shared" ca="1" si="27"/>
        <v>174</v>
      </c>
      <c r="K243" s="45">
        <f t="shared" ca="1" si="28"/>
        <v>53</v>
      </c>
      <c r="L243" s="45">
        <f t="shared" ca="1" si="30"/>
        <v>121</v>
      </c>
      <c r="M243" s="45">
        <f t="shared" ca="1" si="29"/>
        <v>0</v>
      </c>
      <c r="N243" s="45">
        <f t="shared" ca="1" si="31"/>
        <v>0</v>
      </c>
      <c r="O243" s="45">
        <f t="shared" ca="1" si="32"/>
        <v>0</v>
      </c>
      <c r="P243" s="82">
        <f t="shared" ca="1" si="26"/>
        <v>12.100000000000001</v>
      </c>
      <c r="Q243" s="82">
        <f t="shared" ca="1" si="33"/>
        <v>12.100000000000001</v>
      </c>
    </row>
    <row r="244" spans="9:17">
      <c r="I244" s="45">
        <v>236</v>
      </c>
      <c r="J244" s="45">
        <f t="shared" ca="1" si="27"/>
        <v>121</v>
      </c>
      <c r="K244" s="45">
        <f t="shared" ca="1" si="28"/>
        <v>53</v>
      </c>
      <c r="L244" s="45">
        <f t="shared" ca="1" si="30"/>
        <v>68</v>
      </c>
      <c r="M244" s="45">
        <f t="shared" ca="1" si="29"/>
        <v>1</v>
      </c>
      <c r="N244" s="45">
        <f t="shared" ca="1" si="31"/>
        <v>1</v>
      </c>
      <c r="O244" s="45">
        <f t="shared" ca="1" si="32"/>
        <v>400</v>
      </c>
      <c r="P244" s="82">
        <f t="shared" ca="1" si="26"/>
        <v>6.8000000000000007</v>
      </c>
      <c r="Q244" s="82">
        <f t="shared" ca="1" si="33"/>
        <v>406.8</v>
      </c>
    </row>
    <row r="245" spans="9:17">
      <c r="I245" s="45">
        <v>237</v>
      </c>
      <c r="J245" s="45">
        <f t="shared" ca="1" si="27"/>
        <v>266</v>
      </c>
      <c r="K245" s="45">
        <f t="shared" ca="1" si="28"/>
        <v>55</v>
      </c>
      <c r="L245" s="45">
        <f t="shared" ca="1" si="30"/>
        <v>211</v>
      </c>
      <c r="M245" s="45">
        <f t="shared" ca="1" si="29"/>
        <v>0</v>
      </c>
      <c r="N245" s="45">
        <f t="shared" ca="1" si="31"/>
        <v>0</v>
      </c>
      <c r="O245" s="45">
        <f t="shared" ca="1" si="32"/>
        <v>0</v>
      </c>
      <c r="P245" s="82">
        <f t="shared" ca="1" si="26"/>
        <v>21.1</v>
      </c>
      <c r="Q245" s="82">
        <f t="shared" ca="1" si="33"/>
        <v>21.1</v>
      </c>
    </row>
    <row r="246" spans="9:17">
      <c r="I246" s="45">
        <v>238</v>
      </c>
      <c r="J246" s="45">
        <f t="shared" ca="1" si="27"/>
        <v>211</v>
      </c>
      <c r="K246" s="45">
        <f t="shared" ca="1" si="28"/>
        <v>52</v>
      </c>
      <c r="L246" s="45">
        <f t="shared" ca="1" si="30"/>
        <v>159</v>
      </c>
      <c r="M246" s="45">
        <f t="shared" ca="1" si="29"/>
        <v>0</v>
      </c>
      <c r="N246" s="45">
        <f t="shared" ca="1" si="31"/>
        <v>0</v>
      </c>
      <c r="O246" s="45">
        <f t="shared" ca="1" si="32"/>
        <v>0</v>
      </c>
      <c r="P246" s="82">
        <f t="shared" ca="1" si="26"/>
        <v>15.9</v>
      </c>
      <c r="Q246" s="82">
        <f t="shared" ca="1" si="33"/>
        <v>15.9</v>
      </c>
    </row>
    <row r="247" spans="9:17">
      <c r="I247" s="45">
        <v>239</v>
      </c>
      <c r="J247" s="45">
        <f t="shared" ca="1" si="27"/>
        <v>159</v>
      </c>
      <c r="K247" s="45">
        <f t="shared" ca="1" si="28"/>
        <v>55</v>
      </c>
      <c r="L247" s="45">
        <f t="shared" ca="1" si="30"/>
        <v>104</v>
      </c>
      <c r="M247" s="45">
        <f t="shared" ca="1" si="29"/>
        <v>0</v>
      </c>
      <c r="N247" s="45">
        <f t="shared" ca="1" si="31"/>
        <v>0</v>
      </c>
      <c r="O247" s="45">
        <f t="shared" ca="1" si="32"/>
        <v>0</v>
      </c>
      <c r="P247" s="82">
        <f t="shared" ca="1" si="26"/>
        <v>10.4</v>
      </c>
      <c r="Q247" s="82">
        <f t="shared" ca="1" si="33"/>
        <v>10.4</v>
      </c>
    </row>
    <row r="248" spans="9:17">
      <c r="I248" s="45">
        <v>240</v>
      </c>
      <c r="J248" s="45">
        <f t="shared" ca="1" si="27"/>
        <v>104</v>
      </c>
      <c r="K248" s="45">
        <f t="shared" ca="1" si="28"/>
        <v>52</v>
      </c>
      <c r="L248" s="45">
        <f t="shared" ca="1" si="30"/>
        <v>52</v>
      </c>
      <c r="M248" s="45">
        <f t="shared" ca="1" si="29"/>
        <v>1</v>
      </c>
      <c r="N248" s="45">
        <f t="shared" ca="1" si="31"/>
        <v>2</v>
      </c>
      <c r="O248" s="45">
        <f t="shared" ca="1" si="32"/>
        <v>400</v>
      </c>
      <c r="P248" s="82">
        <f t="shared" ca="1" si="26"/>
        <v>5.2</v>
      </c>
      <c r="Q248" s="82">
        <f t="shared" ca="1" si="33"/>
        <v>405.2</v>
      </c>
    </row>
    <row r="249" spans="9:17">
      <c r="I249" s="45">
        <v>241</v>
      </c>
      <c r="J249" s="45">
        <f t="shared" ca="1" si="27"/>
        <v>52</v>
      </c>
      <c r="K249" s="45">
        <f t="shared" ca="1" si="28"/>
        <v>55</v>
      </c>
      <c r="L249" s="45">
        <f t="shared" ca="1" si="30"/>
        <v>-3</v>
      </c>
      <c r="M249" s="45">
        <f t="shared" ca="1" si="29"/>
        <v>0</v>
      </c>
      <c r="N249" s="45">
        <f t="shared" ca="1" si="31"/>
        <v>0</v>
      </c>
      <c r="O249" s="45">
        <f t="shared" ca="1" si="32"/>
        <v>0</v>
      </c>
      <c r="P249" s="82">
        <f t="shared" ca="1" si="26"/>
        <v>-0.30000000000000004</v>
      </c>
      <c r="Q249" s="82">
        <f t="shared" ca="1" si="33"/>
        <v>-0.30000000000000004</v>
      </c>
    </row>
    <row r="250" spans="9:17">
      <c r="I250" s="45">
        <v>242</v>
      </c>
      <c r="J250" s="45">
        <f t="shared" ca="1" si="27"/>
        <v>195</v>
      </c>
      <c r="K250" s="45">
        <f t="shared" ca="1" si="28"/>
        <v>53</v>
      </c>
      <c r="L250" s="45">
        <f t="shared" ca="1" si="30"/>
        <v>142</v>
      </c>
      <c r="M250" s="45">
        <f t="shared" ca="1" si="29"/>
        <v>0</v>
      </c>
      <c r="N250" s="45">
        <f t="shared" ca="1" si="31"/>
        <v>0</v>
      </c>
      <c r="O250" s="45">
        <f t="shared" ca="1" si="32"/>
        <v>0</v>
      </c>
      <c r="P250" s="82">
        <f t="shared" ca="1" si="26"/>
        <v>14.200000000000001</v>
      </c>
      <c r="Q250" s="82">
        <f t="shared" ca="1" si="33"/>
        <v>14.200000000000001</v>
      </c>
    </row>
    <row r="251" spans="9:17">
      <c r="I251" s="45">
        <v>243</v>
      </c>
      <c r="J251" s="45">
        <f t="shared" ca="1" si="27"/>
        <v>142</v>
      </c>
      <c r="K251" s="45">
        <f t="shared" ca="1" si="28"/>
        <v>52</v>
      </c>
      <c r="L251" s="45">
        <f t="shared" ca="1" si="30"/>
        <v>90</v>
      </c>
      <c r="M251" s="45">
        <f t="shared" ca="1" si="29"/>
        <v>1</v>
      </c>
      <c r="N251" s="45">
        <f t="shared" ca="1" si="31"/>
        <v>1</v>
      </c>
      <c r="O251" s="45">
        <f t="shared" ca="1" si="32"/>
        <v>400</v>
      </c>
      <c r="P251" s="82">
        <f t="shared" ca="1" si="26"/>
        <v>9</v>
      </c>
      <c r="Q251" s="82">
        <f t="shared" ca="1" si="33"/>
        <v>409</v>
      </c>
    </row>
    <row r="252" spans="9:17">
      <c r="I252" s="45">
        <v>244</v>
      </c>
      <c r="J252" s="45">
        <f t="shared" ca="1" si="27"/>
        <v>288</v>
      </c>
      <c r="K252" s="45">
        <f t="shared" ca="1" si="28"/>
        <v>53</v>
      </c>
      <c r="L252" s="45">
        <f t="shared" ca="1" si="30"/>
        <v>235</v>
      </c>
      <c r="M252" s="45">
        <f t="shared" ca="1" si="29"/>
        <v>0</v>
      </c>
      <c r="N252" s="45">
        <f t="shared" ca="1" si="31"/>
        <v>0</v>
      </c>
      <c r="O252" s="45">
        <f t="shared" ca="1" si="32"/>
        <v>0</v>
      </c>
      <c r="P252" s="82">
        <f t="shared" ca="1" si="26"/>
        <v>23.5</v>
      </c>
      <c r="Q252" s="82">
        <f t="shared" ca="1" si="33"/>
        <v>23.5</v>
      </c>
    </row>
    <row r="253" spans="9:17">
      <c r="I253" s="45">
        <v>245</v>
      </c>
      <c r="J253" s="45">
        <f t="shared" ca="1" si="27"/>
        <v>235</v>
      </c>
      <c r="K253" s="45">
        <f t="shared" ca="1" si="28"/>
        <v>53</v>
      </c>
      <c r="L253" s="45">
        <f t="shared" ca="1" si="30"/>
        <v>182</v>
      </c>
      <c r="M253" s="45">
        <f t="shared" ca="1" si="29"/>
        <v>0</v>
      </c>
      <c r="N253" s="45">
        <f t="shared" ca="1" si="31"/>
        <v>0</v>
      </c>
      <c r="O253" s="45">
        <f t="shared" ca="1" si="32"/>
        <v>0</v>
      </c>
      <c r="P253" s="82">
        <f t="shared" ca="1" si="26"/>
        <v>18.2</v>
      </c>
      <c r="Q253" s="82">
        <f t="shared" ca="1" si="33"/>
        <v>18.2</v>
      </c>
    </row>
    <row r="254" spans="9:17">
      <c r="I254" s="45">
        <v>246</v>
      </c>
      <c r="J254" s="45">
        <f t="shared" ca="1" si="27"/>
        <v>182</v>
      </c>
      <c r="K254" s="45">
        <f t="shared" ca="1" si="28"/>
        <v>53</v>
      </c>
      <c r="L254" s="45">
        <f t="shared" ca="1" si="30"/>
        <v>129</v>
      </c>
      <c r="M254" s="45">
        <f t="shared" ca="1" si="29"/>
        <v>0</v>
      </c>
      <c r="N254" s="45">
        <f t="shared" ca="1" si="31"/>
        <v>0</v>
      </c>
      <c r="O254" s="45">
        <f t="shared" ca="1" si="32"/>
        <v>0</v>
      </c>
      <c r="P254" s="82">
        <f t="shared" ca="1" si="26"/>
        <v>12.9</v>
      </c>
      <c r="Q254" s="82">
        <f t="shared" ca="1" si="33"/>
        <v>12.9</v>
      </c>
    </row>
    <row r="255" spans="9:17">
      <c r="I255" s="45">
        <v>247</v>
      </c>
      <c r="J255" s="45">
        <f t="shared" ca="1" si="27"/>
        <v>129</v>
      </c>
      <c r="K255" s="45">
        <f t="shared" ca="1" si="28"/>
        <v>54</v>
      </c>
      <c r="L255" s="45">
        <f t="shared" ca="1" si="30"/>
        <v>75</v>
      </c>
      <c r="M255" s="45">
        <f t="shared" ca="1" si="29"/>
        <v>1</v>
      </c>
      <c r="N255" s="45">
        <f t="shared" ca="1" si="31"/>
        <v>2</v>
      </c>
      <c r="O255" s="45">
        <f t="shared" ca="1" si="32"/>
        <v>400</v>
      </c>
      <c r="P255" s="82">
        <f t="shared" ca="1" si="26"/>
        <v>7.5</v>
      </c>
      <c r="Q255" s="82">
        <f t="shared" ca="1" si="33"/>
        <v>407.5</v>
      </c>
    </row>
    <row r="256" spans="9:17">
      <c r="I256" s="45">
        <v>248</v>
      </c>
      <c r="J256" s="45">
        <f t="shared" ca="1" si="27"/>
        <v>75</v>
      </c>
      <c r="K256" s="45">
        <f t="shared" ca="1" si="28"/>
        <v>53</v>
      </c>
      <c r="L256" s="45">
        <f t="shared" ca="1" si="30"/>
        <v>22</v>
      </c>
      <c r="M256" s="45">
        <f t="shared" ca="1" si="29"/>
        <v>0</v>
      </c>
      <c r="N256" s="45">
        <f t="shared" ca="1" si="31"/>
        <v>0</v>
      </c>
      <c r="O256" s="45">
        <f t="shared" ca="1" si="32"/>
        <v>0</v>
      </c>
      <c r="P256" s="82">
        <f t="shared" ca="1" si="26"/>
        <v>2.2000000000000002</v>
      </c>
      <c r="Q256" s="82">
        <f t="shared" ca="1" si="33"/>
        <v>2.2000000000000002</v>
      </c>
    </row>
    <row r="257" spans="9:17">
      <c r="I257" s="45">
        <v>249</v>
      </c>
      <c r="J257" s="45">
        <f t="shared" ca="1" si="27"/>
        <v>220</v>
      </c>
      <c r="K257" s="45">
        <f t="shared" ca="1" si="28"/>
        <v>52</v>
      </c>
      <c r="L257" s="45">
        <f t="shared" ca="1" si="30"/>
        <v>168</v>
      </c>
      <c r="M257" s="45">
        <f t="shared" ca="1" si="29"/>
        <v>0</v>
      </c>
      <c r="N257" s="45">
        <f t="shared" ca="1" si="31"/>
        <v>0</v>
      </c>
      <c r="O257" s="45">
        <f t="shared" ca="1" si="32"/>
        <v>0</v>
      </c>
      <c r="P257" s="82">
        <f t="shared" ca="1" si="26"/>
        <v>16.8</v>
      </c>
      <c r="Q257" s="82">
        <f t="shared" ca="1" si="33"/>
        <v>16.8</v>
      </c>
    </row>
    <row r="258" spans="9:17">
      <c r="I258" s="45">
        <v>250</v>
      </c>
      <c r="J258" s="45">
        <f t="shared" ca="1" si="27"/>
        <v>168</v>
      </c>
      <c r="K258" s="45">
        <f t="shared" ca="1" si="28"/>
        <v>53</v>
      </c>
      <c r="L258" s="45">
        <f t="shared" ca="1" si="30"/>
        <v>115</v>
      </c>
      <c r="M258" s="45">
        <f t="shared" ca="1" si="29"/>
        <v>0</v>
      </c>
      <c r="N258" s="45">
        <f t="shared" ca="1" si="31"/>
        <v>0</v>
      </c>
      <c r="O258" s="45">
        <f t="shared" ca="1" si="32"/>
        <v>0</v>
      </c>
      <c r="P258" s="82">
        <f t="shared" ca="1" si="26"/>
        <v>11.5</v>
      </c>
      <c r="Q258" s="82">
        <f t="shared" ca="1" si="33"/>
        <v>11.5</v>
      </c>
    </row>
    <row r="259" spans="9:17">
      <c r="I259" s="45">
        <v>251</v>
      </c>
      <c r="J259" s="45">
        <f t="shared" ca="1" si="27"/>
        <v>115</v>
      </c>
      <c r="K259" s="45">
        <f t="shared" ca="1" si="28"/>
        <v>52</v>
      </c>
      <c r="L259" s="45">
        <f t="shared" ca="1" si="30"/>
        <v>63</v>
      </c>
      <c r="M259" s="45">
        <f t="shared" ca="1" si="29"/>
        <v>1</v>
      </c>
      <c r="N259" s="45">
        <f t="shared" ca="1" si="31"/>
        <v>1</v>
      </c>
      <c r="O259" s="45">
        <f t="shared" ca="1" si="32"/>
        <v>400</v>
      </c>
      <c r="P259" s="82">
        <f t="shared" ca="1" si="26"/>
        <v>6.3000000000000007</v>
      </c>
      <c r="Q259" s="82">
        <f t="shared" ca="1" si="33"/>
        <v>406.3</v>
      </c>
    </row>
    <row r="260" spans="9:17">
      <c r="I260" s="45">
        <v>252</v>
      </c>
      <c r="J260" s="45">
        <f t="shared" ca="1" si="27"/>
        <v>261</v>
      </c>
      <c r="K260" s="45">
        <f t="shared" ca="1" si="28"/>
        <v>55</v>
      </c>
      <c r="L260" s="45">
        <f t="shared" ca="1" si="30"/>
        <v>206</v>
      </c>
      <c r="M260" s="45">
        <f t="shared" ca="1" si="29"/>
        <v>0</v>
      </c>
      <c r="N260" s="45">
        <f t="shared" ca="1" si="31"/>
        <v>0</v>
      </c>
      <c r="O260" s="45">
        <f t="shared" ca="1" si="32"/>
        <v>0</v>
      </c>
      <c r="P260" s="82">
        <f t="shared" ca="1" si="26"/>
        <v>20.6</v>
      </c>
      <c r="Q260" s="82">
        <f t="shared" ca="1" si="33"/>
        <v>20.6</v>
      </c>
    </row>
    <row r="261" spans="9:17">
      <c r="I261" s="45">
        <v>253</v>
      </c>
      <c r="J261" s="45">
        <f t="shared" ca="1" si="27"/>
        <v>206</v>
      </c>
      <c r="K261" s="45">
        <f t="shared" ca="1" si="28"/>
        <v>52</v>
      </c>
      <c r="L261" s="45">
        <f t="shared" ca="1" si="30"/>
        <v>154</v>
      </c>
      <c r="M261" s="45">
        <f t="shared" ca="1" si="29"/>
        <v>0</v>
      </c>
      <c r="N261" s="45">
        <f t="shared" ca="1" si="31"/>
        <v>0</v>
      </c>
      <c r="O261" s="45">
        <f t="shared" ca="1" si="32"/>
        <v>0</v>
      </c>
      <c r="P261" s="82">
        <f t="shared" ca="1" si="26"/>
        <v>15.4</v>
      </c>
      <c r="Q261" s="82">
        <f t="shared" ca="1" si="33"/>
        <v>15.4</v>
      </c>
    </row>
    <row r="262" spans="9:17">
      <c r="I262" s="45">
        <v>254</v>
      </c>
      <c r="J262" s="45">
        <f t="shared" ca="1" si="27"/>
        <v>154</v>
      </c>
      <c r="K262" s="45">
        <f t="shared" ca="1" si="28"/>
        <v>52</v>
      </c>
      <c r="L262" s="45">
        <f t="shared" ca="1" si="30"/>
        <v>102</v>
      </c>
      <c r="M262" s="45">
        <f t="shared" ca="1" si="29"/>
        <v>1</v>
      </c>
      <c r="N262" s="45">
        <f t="shared" ca="1" si="31"/>
        <v>2</v>
      </c>
      <c r="O262" s="45">
        <f t="shared" ca="1" si="32"/>
        <v>400</v>
      </c>
      <c r="P262" s="82">
        <f t="shared" ca="1" si="26"/>
        <v>10.200000000000001</v>
      </c>
      <c r="Q262" s="82">
        <f t="shared" ca="1" si="33"/>
        <v>410.2</v>
      </c>
    </row>
    <row r="263" spans="9:17">
      <c r="I263" s="45">
        <v>255</v>
      </c>
      <c r="J263" s="45">
        <f t="shared" ca="1" si="27"/>
        <v>102</v>
      </c>
      <c r="K263" s="45">
        <f t="shared" ca="1" si="28"/>
        <v>52</v>
      </c>
      <c r="L263" s="45">
        <f t="shared" ca="1" si="30"/>
        <v>50</v>
      </c>
      <c r="M263" s="45">
        <f t="shared" ca="1" si="29"/>
        <v>0</v>
      </c>
      <c r="N263" s="45">
        <f t="shared" ca="1" si="31"/>
        <v>0</v>
      </c>
      <c r="O263" s="45">
        <f t="shared" ca="1" si="32"/>
        <v>0</v>
      </c>
      <c r="P263" s="82">
        <f t="shared" ca="1" si="26"/>
        <v>5</v>
      </c>
      <c r="Q263" s="82">
        <f t="shared" ca="1" si="33"/>
        <v>5</v>
      </c>
    </row>
    <row r="264" spans="9:17">
      <c r="I264" s="45">
        <v>256</v>
      </c>
      <c r="J264" s="45">
        <f t="shared" ca="1" si="27"/>
        <v>248</v>
      </c>
      <c r="K264" s="45">
        <f t="shared" ca="1" si="28"/>
        <v>54</v>
      </c>
      <c r="L264" s="45">
        <f t="shared" ca="1" si="30"/>
        <v>194</v>
      </c>
      <c r="M264" s="45">
        <f t="shared" ca="1" si="29"/>
        <v>0</v>
      </c>
      <c r="N264" s="45">
        <f t="shared" ca="1" si="31"/>
        <v>0</v>
      </c>
      <c r="O264" s="45">
        <f t="shared" ca="1" si="32"/>
        <v>0</v>
      </c>
      <c r="P264" s="82">
        <f t="shared" ca="1" si="26"/>
        <v>19.400000000000002</v>
      </c>
      <c r="Q264" s="82">
        <f t="shared" ca="1" si="33"/>
        <v>19.400000000000002</v>
      </c>
    </row>
    <row r="265" spans="9:17">
      <c r="I265" s="45">
        <v>257</v>
      </c>
      <c r="J265" s="45">
        <f t="shared" ca="1" si="27"/>
        <v>194</v>
      </c>
      <c r="K265" s="45">
        <f t="shared" ca="1" si="28"/>
        <v>53</v>
      </c>
      <c r="L265" s="45">
        <f t="shared" ca="1" si="30"/>
        <v>141</v>
      </c>
      <c r="M265" s="45">
        <f t="shared" ca="1" si="29"/>
        <v>0</v>
      </c>
      <c r="N265" s="45">
        <f t="shared" ca="1" si="31"/>
        <v>0</v>
      </c>
      <c r="O265" s="45">
        <f t="shared" ca="1" si="32"/>
        <v>0</v>
      </c>
      <c r="P265" s="82">
        <f t="shared" ref="P265:P328" ca="1" si="34">L265*$C$5</f>
        <v>14.100000000000001</v>
      </c>
      <c r="Q265" s="82">
        <f t="shared" ca="1" si="33"/>
        <v>14.100000000000001</v>
      </c>
    </row>
    <row r="266" spans="9:17">
      <c r="I266" s="45">
        <v>258</v>
      </c>
      <c r="J266" s="45">
        <f t="shared" ref="J266:J329" ca="1" si="35">L265+IF(N265=1,$C$6,0)+IF(N264=2,$C$6,0)</f>
        <v>141</v>
      </c>
      <c r="K266" s="45">
        <f t="shared" ref="K266:K329" ca="1" si="36">INDEX($E$4:$E$9,MATCH(RAND(),$G$4:$G$10,1))</f>
        <v>53</v>
      </c>
      <c r="L266" s="45">
        <f t="shared" ca="1" si="30"/>
        <v>88</v>
      </c>
      <c r="M266" s="45">
        <f t="shared" ref="M266:M329" ca="1" si="37">IF(L266&lt;2*K267,IF(N265=2,0,1),0)</f>
        <v>1</v>
      </c>
      <c r="N266" s="45">
        <f t="shared" ca="1" si="31"/>
        <v>1</v>
      </c>
      <c r="O266" s="45">
        <f t="shared" ca="1" si="32"/>
        <v>400</v>
      </c>
      <c r="P266" s="82">
        <f t="shared" ca="1" si="34"/>
        <v>8.8000000000000007</v>
      </c>
      <c r="Q266" s="82">
        <f t="shared" ca="1" si="33"/>
        <v>408.8</v>
      </c>
    </row>
    <row r="267" spans="9:17">
      <c r="I267" s="45">
        <v>259</v>
      </c>
      <c r="J267" s="45">
        <f t="shared" ca="1" si="35"/>
        <v>286</v>
      </c>
      <c r="K267" s="45">
        <f t="shared" ca="1" si="36"/>
        <v>52</v>
      </c>
      <c r="L267" s="45">
        <f t="shared" ref="L267:L330" ca="1" si="38">J267-K267</f>
        <v>234</v>
      </c>
      <c r="M267" s="45">
        <f t="shared" ca="1" si="37"/>
        <v>0</v>
      </c>
      <c r="N267" s="45">
        <f t="shared" ref="N267:N330" ca="1" si="39">IF(M267=1,RANDBETWEEN(1,2),0)</f>
        <v>0</v>
      </c>
      <c r="O267" s="45">
        <f t="shared" ref="O267:O330" ca="1" si="40">IF(M267=1,$C$3,0)</f>
        <v>0</v>
      </c>
      <c r="P267" s="82">
        <f t="shared" ca="1" si="34"/>
        <v>23.400000000000002</v>
      </c>
      <c r="Q267" s="82">
        <f t="shared" ref="Q267:Q330" ca="1" si="41">O267+P267</f>
        <v>23.400000000000002</v>
      </c>
    </row>
    <row r="268" spans="9:17">
      <c r="I268" s="45">
        <v>260</v>
      </c>
      <c r="J268" s="45">
        <f t="shared" ca="1" si="35"/>
        <v>234</v>
      </c>
      <c r="K268" s="45">
        <f t="shared" ca="1" si="36"/>
        <v>55</v>
      </c>
      <c r="L268" s="45">
        <f t="shared" ca="1" si="38"/>
        <v>179</v>
      </c>
      <c r="M268" s="45">
        <f t="shared" ca="1" si="37"/>
        <v>0</v>
      </c>
      <c r="N268" s="45">
        <f t="shared" ca="1" si="39"/>
        <v>0</v>
      </c>
      <c r="O268" s="45">
        <f t="shared" ca="1" si="40"/>
        <v>0</v>
      </c>
      <c r="P268" s="82">
        <f t="shared" ca="1" si="34"/>
        <v>17.900000000000002</v>
      </c>
      <c r="Q268" s="82">
        <f t="shared" ca="1" si="41"/>
        <v>17.900000000000002</v>
      </c>
    </row>
    <row r="269" spans="9:17">
      <c r="I269" s="45">
        <v>261</v>
      </c>
      <c r="J269" s="45">
        <f t="shared" ca="1" si="35"/>
        <v>179</v>
      </c>
      <c r="K269" s="45">
        <f t="shared" ca="1" si="36"/>
        <v>55</v>
      </c>
      <c r="L269" s="45">
        <f t="shared" ca="1" si="38"/>
        <v>124</v>
      </c>
      <c r="M269" s="45">
        <f t="shared" ca="1" si="37"/>
        <v>0</v>
      </c>
      <c r="N269" s="45">
        <f t="shared" ca="1" si="39"/>
        <v>0</v>
      </c>
      <c r="O269" s="45">
        <f t="shared" ca="1" si="40"/>
        <v>0</v>
      </c>
      <c r="P269" s="82">
        <f t="shared" ca="1" si="34"/>
        <v>12.4</v>
      </c>
      <c r="Q269" s="82">
        <f t="shared" ca="1" si="41"/>
        <v>12.4</v>
      </c>
    </row>
    <row r="270" spans="9:17">
      <c r="I270" s="45">
        <v>262</v>
      </c>
      <c r="J270" s="45">
        <f t="shared" ca="1" si="35"/>
        <v>124</v>
      </c>
      <c r="K270" s="45">
        <f t="shared" ca="1" si="36"/>
        <v>54</v>
      </c>
      <c r="L270" s="45">
        <f t="shared" ca="1" si="38"/>
        <v>70</v>
      </c>
      <c r="M270" s="45">
        <f t="shared" ca="1" si="37"/>
        <v>1</v>
      </c>
      <c r="N270" s="45">
        <f t="shared" ca="1" si="39"/>
        <v>2</v>
      </c>
      <c r="O270" s="45">
        <f t="shared" ca="1" si="40"/>
        <v>400</v>
      </c>
      <c r="P270" s="82">
        <f t="shared" ca="1" si="34"/>
        <v>7</v>
      </c>
      <c r="Q270" s="82">
        <f t="shared" ca="1" si="41"/>
        <v>407</v>
      </c>
    </row>
    <row r="271" spans="9:17">
      <c r="I271" s="45">
        <v>263</v>
      </c>
      <c r="J271" s="45">
        <f t="shared" ca="1" si="35"/>
        <v>70</v>
      </c>
      <c r="K271" s="45">
        <f t="shared" ca="1" si="36"/>
        <v>52</v>
      </c>
      <c r="L271" s="45">
        <f t="shared" ca="1" si="38"/>
        <v>18</v>
      </c>
      <c r="M271" s="45">
        <f t="shared" ca="1" si="37"/>
        <v>0</v>
      </c>
      <c r="N271" s="45">
        <f t="shared" ca="1" si="39"/>
        <v>0</v>
      </c>
      <c r="O271" s="45">
        <f t="shared" ca="1" si="40"/>
        <v>0</v>
      </c>
      <c r="P271" s="82">
        <f t="shared" ca="1" si="34"/>
        <v>1.8</v>
      </c>
      <c r="Q271" s="82">
        <f t="shared" ca="1" si="41"/>
        <v>1.8</v>
      </c>
    </row>
    <row r="272" spans="9:17">
      <c r="I272" s="45">
        <v>264</v>
      </c>
      <c r="J272" s="45">
        <f t="shared" ca="1" si="35"/>
        <v>216</v>
      </c>
      <c r="K272" s="45">
        <f t="shared" ca="1" si="36"/>
        <v>55</v>
      </c>
      <c r="L272" s="45">
        <f t="shared" ca="1" si="38"/>
        <v>161</v>
      </c>
      <c r="M272" s="45">
        <f t="shared" ca="1" si="37"/>
        <v>0</v>
      </c>
      <c r="N272" s="45">
        <f t="shared" ca="1" si="39"/>
        <v>0</v>
      </c>
      <c r="O272" s="45">
        <f t="shared" ca="1" si="40"/>
        <v>0</v>
      </c>
      <c r="P272" s="82">
        <f t="shared" ca="1" si="34"/>
        <v>16.100000000000001</v>
      </c>
      <c r="Q272" s="82">
        <f t="shared" ca="1" si="41"/>
        <v>16.100000000000001</v>
      </c>
    </row>
    <row r="273" spans="9:17">
      <c r="I273" s="45">
        <v>265</v>
      </c>
      <c r="J273" s="45">
        <f t="shared" ca="1" si="35"/>
        <v>161</v>
      </c>
      <c r="K273" s="45">
        <f t="shared" ca="1" si="36"/>
        <v>52</v>
      </c>
      <c r="L273" s="45">
        <f t="shared" ca="1" si="38"/>
        <v>109</v>
      </c>
      <c r="M273" s="45">
        <f t="shared" ca="1" si="37"/>
        <v>0</v>
      </c>
      <c r="N273" s="45">
        <f t="shared" ca="1" si="39"/>
        <v>0</v>
      </c>
      <c r="O273" s="45">
        <f t="shared" ca="1" si="40"/>
        <v>0</v>
      </c>
      <c r="P273" s="82">
        <f t="shared" ca="1" si="34"/>
        <v>10.9</v>
      </c>
      <c r="Q273" s="82">
        <f t="shared" ca="1" si="41"/>
        <v>10.9</v>
      </c>
    </row>
    <row r="274" spans="9:17">
      <c r="I274" s="45">
        <v>266</v>
      </c>
      <c r="J274" s="45">
        <f t="shared" ca="1" si="35"/>
        <v>109</v>
      </c>
      <c r="K274" s="45">
        <f t="shared" ca="1" si="36"/>
        <v>53</v>
      </c>
      <c r="L274" s="45">
        <f t="shared" ca="1" si="38"/>
        <v>56</v>
      </c>
      <c r="M274" s="45">
        <f t="shared" ca="1" si="37"/>
        <v>1</v>
      </c>
      <c r="N274" s="45">
        <f t="shared" ca="1" si="39"/>
        <v>2</v>
      </c>
      <c r="O274" s="45">
        <f t="shared" ca="1" si="40"/>
        <v>400</v>
      </c>
      <c r="P274" s="82">
        <f t="shared" ca="1" si="34"/>
        <v>5.6000000000000005</v>
      </c>
      <c r="Q274" s="82">
        <f t="shared" ca="1" si="41"/>
        <v>405.6</v>
      </c>
    </row>
    <row r="275" spans="9:17">
      <c r="I275" s="45">
        <v>267</v>
      </c>
      <c r="J275" s="45">
        <f t="shared" ca="1" si="35"/>
        <v>56</v>
      </c>
      <c r="K275" s="45">
        <f t="shared" ca="1" si="36"/>
        <v>55</v>
      </c>
      <c r="L275" s="45">
        <f t="shared" ca="1" si="38"/>
        <v>1</v>
      </c>
      <c r="M275" s="45">
        <f t="shared" ca="1" si="37"/>
        <v>0</v>
      </c>
      <c r="N275" s="45">
        <f t="shared" ca="1" si="39"/>
        <v>0</v>
      </c>
      <c r="O275" s="45">
        <f t="shared" ca="1" si="40"/>
        <v>0</v>
      </c>
      <c r="P275" s="82">
        <f t="shared" ca="1" si="34"/>
        <v>0.1</v>
      </c>
      <c r="Q275" s="82">
        <f t="shared" ca="1" si="41"/>
        <v>0.1</v>
      </c>
    </row>
    <row r="276" spans="9:17">
      <c r="I276" s="45">
        <v>268</v>
      </c>
      <c r="J276" s="45">
        <f t="shared" ca="1" si="35"/>
        <v>199</v>
      </c>
      <c r="K276" s="45">
        <f t="shared" ca="1" si="36"/>
        <v>51</v>
      </c>
      <c r="L276" s="45">
        <f t="shared" ca="1" si="38"/>
        <v>148</v>
      </c>
      <c r="M276" s="45">
        <f t="shared" ca="1" si="37"/>
        <v>0</v>
      </c>
      <c r="N276" s="45">
        <f t="shared" ca="1" si="39"/>
        <v>0</v>
      </c>
      <c r="O276" s="45">
        <f t="shared" ca="1" si="40"/>
        <v>0</v>
      </c>
      <c r="P276" s="82">
        <f t="shared" ca="1" si="34"/>
        <v>14.8</v>
      </c>
      <c r="Q276" s="82">
        <f t="shared" ca="1" si="41"/>
        <v>14.8</v>
      </c>
    </row>
    <row r="277" spans="9:17">
      <c r="I277" s="45">
        <v>269</v>
      </c>
      <c r="J277" s="45">
        <f t="shared" ca="1" si="35"/>
        <v>148</v>
      </c>
      <c r="K277" s="45">
        <f t="shared" ca="1" si="36"/>
        <v>52</v>
      </c>
      <c r="L277" s="45">
        <f t="shared" ca="1" si="38"/>
        <v>96</v>
      </c>
      <c r="M277" s="45">
        <f t="shared" ca="1" si="37"/>
        <v>1</v>
      </c>
      <c r="N277" s="45">
        <f t="shared" ca="1" si="39"/>
        <v>1</v>
      </c>
      <c r="O277" s="45">
        <f t="shared" ca="1" si="40"/>
        <v>400</v>
      </c>
      <c r="P277" s="82">
        <f t="shared" ca="1" si="34"/>
        <v>9.6000000000000014</v>
      </c>
      <c r="Q277" s="82">
        <f t="shared" ca="1" si="41"/>
        <v>409.6</v>
      </c>
    </row>
    <row r="278" spans="9:17">
      <c r="I278" s="45">
        <v>270</v>
      </c>
      <c r="J278" s="45">
        <f t="shared" ca="1" si="35"/>
        <v>294</v>
      </c>
      <c r="K278" s="45">
        <f t="shared" ca="1" si="36"/>
        <v>52</v>
      </c>
      <c r="L278" s="45">
        <f t="shared" ca="1" si="38"/>
        <v>242</v>
      </c>
      <c r="M278" s="45">
        <f t="shared" ca="1" si="37"/>
        <v>0</v>
      </c>
      <c r="N278" s="45">
        <f t="shared" ca="1" si="39"/>
        <v>0</v>
      </c>
      <c r="O278" s="45">
        <f t="shared" ca="1" si="40"/>
        <v>0</v>
      </c>
      <c r="P278" s="82">
        <f t="shared" ca="1" si="34"/>
        <v>24.200000000000003</v>
      </c>
      <c r="Q278" s="82">
        <f t="shared" ca="1" si="41"/>
        <v>24.200000000000003</v>
      </c>
    </row>
    <row r="279" spans="9:17">
      <c r="I279" s="45">
        <v>271</v>
      </c>
      <c r="J279" s="45">
        <f t="shared" ca="1" si="35"/>
        <v>242</v>
      </c>
      <c r="K279" s="45">
        <f t="shared" ca="1" si="36"/>
        <v>52</v>
      </c>
      <c r="L279" s="45">
        <f t="shared" ca="1" si="38"/>
        <v>190</v>
      </c>
      <c r="M279" s="45">
        <f t="shared" ca="1" si="37"/>
        <v>0</v>
      </c>
      <c r="N279" s="45">
        <f t="shared" ca="1" si="39"/>
        <v>0</v>
      </c>
      <c r="O279" s="45">
        <f t="shared" ca="1" si="40"/>
        <v>0</v>
      </c>
      <c r="P279" s="82">
        <f t="shared" ca="1" si="34"/>
        <v>19</v>
      </c>
      <c r="Q279" s="82">
        <f t="shared" ca="1" si="41"/>
        <v>19</v>
      </c>
    </row>
    <row r="280" spans="9:17">
      <c r="I280" s="45">
        <v>272</v>
      </c>
      <c r="J280" s="45">
        <f t="shared" ca="1" si="35"/>
        <v>190</v>
      </c>
      <c r="K280" s="45">
        <f t="shared" ca="1" si="36"/>
        <v>53</v>
      </c>
      <c r="L280" s="45">
        <f t="shared" ca="1" si="38"/>
        <v>137</v>
      </c>
      <c r="M280" s="45">
        <f t="shared" ca="1" si="37"/>
        <v>0</v>
      </c>
      <c r="N280" s="45">
        <f t="shared" ca="1" si="39"/>
        <v>0</v>
      </c>
      <c r="O280" s="45">
        <f t="shared" ca="1" si="40"/>
        <v>0</v>
      </c>
      <c r="P280" s="82">
        <f t="shared" ca="1" si="34"/>
        <v>13.700000000000001</v>
      </c>
      <c r="Q280" s="82">
        <f t="shared" ca="1" si="41"/>
        <v>13.700000000000001</v>
      </c>
    </row>
    <row r="281" spans="9:17">
      <c r="I281" s="45">
        <v>273</v>
      </c>
      <c r="J281" s="45">
        <f t="shared" ca="1" si="35"/>
        <v>137</v>
      </c>
      <c r="K281" s="45">
        <f t="shared" ca="1" si="36"/>
        <v>52</v>
      </c>
      <c r="L281" s="45">
        <f t="shared" ca="1" si="38"/>
        <v>85</v>
      </c>
      <c r="M281" s="45">
        <f t="shared" ca="1" si="37"/>
        <v>1</v>
      </c>
      <c r="N281" s="45">
        <f t="shared" ca="1" si="39"/>
        <v>1</v>
      </c>
      <c r="O281" s="45">
        <f t="shared" ca="1" si="40"/>
        <v>400</v>
      </c>
      <c r="P281" s="82">
        <f t="shared" ca="1" si="34"/>
        <v>8.5</v>
      </c>
      <c r="Q281" s="82">
        <f t="shared" ca="1" si="41"/>
        <v>408.5</v>
      </c>
    </row>
    <row r="282" spans="9:17">
      <c r="I282" s="45">
        <v>274</v>
      </c>
      <c r="J282" s="45">
        <f t="shared" ca="1" si="35"/>
        <v>283</v>
      </c>
      <c r="K282" s="45">
        <f t="shared" ca="1" si="36"/>
        <v>53</v>
      </c>
      <c r="L282" s="45">
        <f t="shared" ca="1" si="38"/>
        <v>230</v>
      </c>
      <c r="M282" s="45">
        <f t="shared" ca="1" si="37"/>
        <v>0</v>
      </c>
      <c r="N282" s="45">
        <f t="shared" ca="1" si="39"/>
        <v>0</v>
      </c>
      <c r="O282" s="45">
        <f t="shared" ca="1" si="40"/>
        <v>0</v>
      </c>
      <c r="P282" s="82">
        <f t="shared" ca="1" si="34"/>
        <v>23</v>
      </c>
      <c r="Q282" s="82">
        <f t="shared" ca="1" si="41"/>
        <v>23</v>
      </c>
    </row>
    <row r="283" spans="9:17">
      <c r="I283" s="45">
        <v>275</v>
      </c>
      <c r="J283" s="45">
        <f t="shared" ca="1" si="35"/>
        <v>230</v>
      </c>
      <c r="K283" s="45">
        <f t="shared" ca="1" si="36"/>
        <v>55</v>
      </c>
      <c r="L283" s="45">
        <f t="shared" ca="1" si="38"/>
        <v>175</v>
      </c>
      <c r="M283" s="45">
        <f t="shared" ca="1" si="37"/>
        <v>0</v>
      </c>
      <c r="N283" s="45">
        <f t="shared" ca="1" si="39"/>
        <v>0</v>
      </c>
      <c r="O283" s="45">
        <f t="shared" ca="1" si="40"/>
        <v>0</v>
      </c>
      <c r="P283" s="82">
        <f t="shared" ca="1" si="34"/>
        <v>17.5</v>
      </c>
      <c r="Q283" s="82">
        <f t="shared" ca="1" si="41"/>
        <v>17.5</v>
      </c>
    </row>
    <row r="284" spans="9:17">
      <c r="I284" s="45">
        <v>276</v>
      </c>
      <c r="J284" s="45">
        <f t="shared" ca="1" si="35"/>
        <v>175</v>
      </c>
      <c r="K284" s="45">
        <f t="shared" ca="1" si="36"/>
        <v>55</v>
      </c>
      <c r="L284" s="45">
        <f t="shared" ca="1" si="38"/>
        <v>120</v>
      </c>
      <c r="M284" s="45">
        <f t="shared" ca="1" si="37"/>
        <v>0</v>
      </c>
      <c r="N284" s="45">
        <f t="shared" ca="1" si="39"/>
        <v>0</v>
      </c>
      <c r="O284" s="45">
        <f t="shared" ca="1" si="40"/>
        <v>0</v>
      </c>
      <c r="P284" s="82">
        <f t="shared" ca="1" si="34"/>
        <v>12</v>
      </c>
      <c r="Q284" s="82">
        <f t="shared" ca="1" si="41"/>
        <v>12</v>
      </c>
    </row>
    <row r="285" spans="9:17">
      <c r="I285" s="45">
        <v>277</v>
      </c>
      <c r="J285" s="45">
        <f t="shared" ca="1" si="35"/>
        <v>120</v>
      </c>
      <c r="K285" s="45">
        <f t="shared" ca="1" si="36"/>
        <v>52</v>
      </c>
      <c r="L285" s="45">
        <f t="shared" ca="1" si="38"/>
        <v>68</v>
      </c>
      <c r="M285" s="45">
        <f t="shared" ca="1" si="37"/>
        <v>1</v>
      </c>
      <c r="N285" s="45">
        <f t="shared" ca="1" si="39"/>
        <v>1</v>
      </c>
      <c r="O285" s="45">
        <f t="shared" ca="1" si="40"/>
        <v>400</v>
      </c>
      <c r="P285" s="82">
        <f t="shared" ca="1" si="34"/>
        <v>6.8000000000000007</v>
      </c>
      <c r="Q285" s="82">
        <f t="shared" ca="1" si="41"/>
        <v>406.8</v>
      </c>
    </row>
    <row r="286" spans="9:17">
      <c r="I286" s="45">
        <v>278</v>
      </c>
      <c r="J286" s="45">
        <f t="shared" ca="1" si="35"/>
        <v>266</v>
      </c>
      <c r="K286" s="45">
        <f t="shared" ca="1" si="36"/>
        <v>51</v>
      </c>
      <c r="L286" s="45">
        <f t="shared" ca="1" si="38"/>
        <v>215</v>
      </c>
      <c r="M286" s="45">
        <f t="shared" ca="1" si="37"/>
        <v>0</v>
      </c>
      <c r="N286" s="45">
        <f t="shared" ca="1" si="39"/>
        <v>0</v>
      </c>
      <c r="O286" s="45">
        <f t="shared" ca="1" si="40"/>
        <v>0</v>
      </c>
      <c r="P286" s="82">
        <f t="shared" ca="1" si="34"/>
        <v>21.5</v>
      </c>
      <c r="Q286" s="82">
        <f t="shared" ca="1" si="41"/>
        <v>21.5</v>
      </c>
    </row>
    <row r="287" spans="9:17">
      <c r="I287" s="45">
        <v>279</v>
      </c>
      <c r="J287" s="45">
        <f t="shared" ca="1" si="35"/>
        <v>215</v>
      </c>
      <c r="K287" s="45">
        <f t="shared" ca="1" si="36"/>
        <v>52</v>
      </c>
      <c r="L287" s="45">
        <f t="shared" ca="1" si="38"/>
        <v>163</v>
      </c>
      <c r="M287" s="45">
        <f t="shared" ca="1" si="37"/>
        <v>0</v>
      </c>
      <c r="N287" s="45">
        <f t="shared" ca="1" si="39"/>
        <v>0</v>
      </c>
      <c r="O287" s="45">
        <f t="shared" ca="1" si="40"/>
        <v>0</v>
      </c>
      <c r="P287" s="82">
        <f t="shared" ca="1" si="34"/>
        <v>16.3</v>
      </c>
      <c r="Q287" s="82">
        <f t="shared" ca="1" si="41"/>
        <v>16.3</v>
      </c>
    </row>
    <row r="288" spans="9:17">
      <c r="I288" s="45">
        <v>280</v>
      </c>
      <c r="J288" s="45">
        <f t="shared" ca="1" si="35"/>
        <v>163</v>
      </c>
      <c r="K288" s="45">
        <f t="shared" ca="1" si="36"/>
        <v>50</v>
      </c>
      <c r="L288" s="45">
        <f t="shared" ca="1" si="38"/>
        <v>113</v>
      </c>
      <c r="M288" s="45">
        <f t="shared" ca="1" si="37"/>
        <v>0</v>
      </c>
      <c r="N288" s="45">
        <f t="shared" ca="1" si="39"/>
        <v>0</v>
      </c>
      <c r="O288" s="45">
        <f t="shared" ca="1" si="40"/>
        <v>0</v>
      </c>
      <c r="P288" s="82">
        <f t="shared" ca="1" si="34"/>
        <v>11.3</v>
      </c>
      <c r="Q288" s="82">
        <f t="shared" ca="1" si="41"/>
        <v>11.3</v>
      </c>
    </row>
    <row r="289" spans="9:17">
      <c r="I289" s="45">
        <v>281</v>
      </c>
      <c r="J289" s="45">
        <f t="shared" ca="1" si="35"/>
        <v>113</v>
      </c>
      <c r="K289" s="45">
        <f t="shared" ca="1" si="36"/>
        <v>51</v>
      </c>
      <c r="L289" s="45">
        <f t="shared" ca="1" si="38"/>
        <v>62</v>
      </c>
      <c r="M289" s="45">
        <f t="shared" ca="1" si="37"/>
        <v>1</v>
      </c>
      <c r="N289" s="45">
        <f t="shared" ca="1" si="39"/>
        <v>2</v>
      </c>
      <c r="O289" s="45">
        <f t="shared" ca="1" si="40"/>
        <v>400</v>
      </c>
      <c r="P289" s="82">
        <f t="shared" ca="1" si="34"/>
        <v>6.2</v>
      </c>
      <c r="Q289" s="82">
        <f t="shared" ca="1" si="41"/>
        <v>406.2</v>
      </c>
    </row>
    <row r="290" spans="9:17">
      <c r="I290" s="45">
        <v>282</v>
      </c>
      <c r="J290" s="45">
        <f t="shared" ca="1" si="35"/>
        <v>62</v>
      </c>
      <c r="K290" s="45">
        <f t="shared" ca="1" si="36"/>
        <v>52</v>
      </c>
      <c r="L290" s="45">
        <f t="shared" ca="1" si="38"/>
        <v>10</v>
      </c>
      <c r="M290" s="45">
        <f t="shared" ca="1" si="37"/>
        <v>0</v>
      </c>
      <c r="N290" s="45">
        <f t="shared" ca="1" si="39"/>
        <v>0</v>
      </c>
      <c r="O290" s="45">
        <f t="shared" ca="1" si="40"/>
        <v>0</v>
      </c>
      <c r="P290" s="82">
        <f t="shared" ca="1" si="34"/>
        <v>1</v>
      </c>
      <c r="Q290" s="82">
        <f t="shared" ca="1" si="41"/>
        <v>1</v>
      </c>
    </row>
    <row r="291" spans="9:17">
      <c r="I291" s="45">
        <v>283</v>
      </c>
      <c r="J291" s="45">
        <f t="shared" ca="1" si="35"/>
        <v>208</v>
      </c>
      <c r="K291" s="45">
        <f t="shared" ca="1" si="36"/>
        <v>55</v>
      </c>
      <c r="L291" s="45">
        <f t="shared" ca="1" si="38"/>
        <v>153</v>
      </c>
      <c r="M291" s="45">
        <f t="shared" ca="1" si="37"/>
        <v>0</v>
      </c>
      <c r="N291" s="45">
        <f t="shared" ca="1" si="39"/>
        <v>0</v>
      </c>
      <c r="O291" s="45">
        <f t="shared" ca="1" si="40"/>
        <v>0</v>
      </c>
      <c r="P291" s="82">
        <f t="shared" ca="1" si="34"/>
        <v>15.3</v>
      </c>
      <c r="Q291" s="82">
        <f t="shared" ca="1" si="41"/>
        <v>15.3</v>
      </c>
    </row>
    <row r="292" spans="9:17">
      <c r="I292" s="45">
        <v>284</v>
      </c>
      <c r="J292" s="45">
        <f t="shared" ca="1" si="35"/>
        <v>153</v>
      </c>
      <c r="K292" s="45">
        <f t="shared" ca="1" si="36"/>
        <v>55</v>
      </c>
      <c r="L292" s="45">
        <f t="shared" ca="1" si="38"/>
        <v>98</v>
      </c>
      <c r="M292" s="45">
        <f t="shared" ca="1" si="37"/>
        <v>1</v>
      </c>
      <c r="N292" s="45">
        <f t="shared" ca="1" si="39"/>
        <v>2</v>
      </c>
      <c r="O292" s="45">
        <f t="shared" ca="1" si="40"/>
        <v>400</v>
      </c>
      <c r="P292" s="82">
        <f t="shared" ca="1" si="34"/>
        <v>9.8000000000000007</v>
      </c>
      <c r="Q292" s="82">
        <f t="shared" ca="1" si="41"/>
        <v>409.8</v>
      </c>
    </row>
    <row r="293" spans="9:17">
      <c r="I293" s="45">
        <v>285</v>
      </c>
      <c r="J293" s="45">
        <f t="shared" ca="1" si="35"/>
        <v>98</v>
      </c>
      <c r="K293" s="45">
        <f t="shared" ca="1" si="36"/>
        <v>55</v>
      </c>
      <c r="L293" s="45">
        <f t="shared" ca="1" si="38"/>
        <v>43</v>
      </c>
      <c r="M293" s="45">
        <f t="shared" ca="1" si="37"/>
        <v>0</v>
      </c>
      <c r="N293" s="45">
        <f t="shared" ca="1" si="39"/>
        <v>0</v>
      </c>
      <c r="O293" s="45">
        <f t="shared" ca="1" si="40"/>
        <v>0</v>
      </c>
      <c r="P293" s="82">
        <f t="shared" ca="1" si="34"/>
        <v>4.3</v>
      </c>
      <c r="Q293" s="82">
        <f t="shared" ca="1" si="41"/>
        <v>4.3</v>
      </c>
    </row>
    <row r="294" spans="9:17">
      <c r="I294" s="45">
        <v>286</v>
      </c>
      <c r="J294" s="45">
        <f t="shared" ca="1" si="35"/>
        <v>241</v>
      </c>
      <c r="K294" s="45">
        <f t="shared" ca="1" si="36"/>
        <v>54</v>
      </c>
      <c r="L294" s="45">
        <f t="shared" ca="1" si="38"/>
        <v>187</v>
      </c>
      <c r="M294" s="45">
        <f t="shared" ca="1" si="37"/>
        <v>0</v>
      </c>
      <c r="N294" s="45">
        <f t="shared" ca="1" si="39"/>
        <v>0</v>
      </c>
      <c r="O294" s="45">
        <f t="shared" ca="1" si="40"/>
        <v>0</v>
      </c>
      <c r="P294" s="82">
        <f t="shared" ca="1" si="34"/>
        <v>18.7</v>
      </c>
      <c r="Q294" s="82">
        <f t="shared" ca="1" si="41"/>
        <v>18.7</v>
      </c>
    </row>
    <row r="295" spans="9:17">
      <c r="I295" s="45">
        <v>287</v>
      </c>
      <c r="J295" s="45">
        <f t="shared" ca="1" si="35"/>
        <v>187</v>
      </c>
      <c r="K295" s="45">
        <f t="shared" ca="1" si="36"/>
        <v>53</v>
      </c>
      <c r="L295" s="45">
        <f t="shared" ca="1" si="38"/>
        <v>134</v>
      </c>
      <c r="M295" s="45">
        <f t="shared" ca="1" si="37"/>
        <v>0</v>
      </c>
      <c r="N295" s="45">
        <f t="shared" ca="1" si="39"/>
        <v>0</v>
      </c>
      <c r="O295" s="45">
        <f t="shared" ca="1" si="40"/>
        <v>0</v>
      </c>
      <c r="P295" s="82">
        <f t="shared" ca="1" si="34"/>
        <v>13.4</v>
      </c>
      <c r="Q295" s="82">
        <f t="shared" ca="1" si="41"/>
        <v>13.4</v>
      </c>
    </row>
    <row r="296" spans="9:17">
      <c r="I296" s="45">
        <v>288</v>
      </c>
      <c r="J296" s="45">
        <f t="shared" ca="1" si="35"/>
        <v>134</v>
      </c>
      <c r="K296" s="45">
        <f t="shared" ca="1" si="36"/>
        <v>55</v>
      </c>
      <c r="L296" s="45">
        <f t="shared" ca="1" si="38"/>
        <v>79</v>
      </c>
      <c r="M296" s="45">
        <f t="shared" ca="1" si="37"/>
        <v>1</v>
      </c>
      <c r="N296" s="45">
        <f t="shared" ca="1" si="39"/>
        <v>2</v>
      </c>
      <c r="O296" s="45">
        <f t="shared" ca="1" si="40"/>
        <v>400</v>
      </c>
      <c r="P296" s="82">
        <f t="shared" ca="1" si="34"/>
        <v>7.9</v>
      </c>
      <c r="Q296" s="82">
        <f t="shared" ca="1" si="41"/>
        <v>407.9</v>
      </c>
    </row>
    <row r="297" spans="9:17">
      <c r="I297" s="45">
        <v>289</v>
      </c>
      <c r="J297" s="45">
        <f t="shared" ca="1" si="35"/>
        <v>79</v>
      </c>
      <c r="K297" s="45">
        <f t="shared" ca="1" si="36"/>
        <v>55</v>
      </c>
      <c r="L297" s="45">
        <f t="shared" ca="1" si="38"/>
        <v>24</v>
      </c>
      <c r="M297" s="45">
        <f t="shared" ca="1" si="37"/>
        <v>0</v>
      </c>
      <c r="N297" s="45">
        <f t="shared" ca="1" si="39"/>
        <v>0</v>
      </c>
      <c r="O297" s="45">
        <f t="shared" ca="1" si="40"/>
        <v>0</v>
      </c>
      <c r="P297" s="82">
        <f t="shared" ca="1" si="34"/>
        <v>2.4000000000000004</v>
      </c>
      <c r="Q297" s="82">
        <f t="shared" ca="1" si="41"/>
        <v>2.4000000000000004</v>
      </c>
    </row>
    <row r="298" spans="9:17">
      <c r="I298" s="45">
        <v>290</v>
      </c>
      <c r="J298" s="45">
        <f t="shared" ca="1" si="35"/>
        <v>222</v>
      </c>
      <c r="K298" s="45">
        <f t="shared" ca="1" si="36"/>
        <v>54</v>
      </c>
      <c r="L298" s="45">
        <f t="shared" ca="1" si="38"/>
        <v>168</v>
      </c>
      <c r="M298" s="45">
        <f t="shared" ca="1" si="37"/>
        <v>0</v>
      </c>
      <c r="N298" s="45">
        <f t="shared" ca="1" si="39"/>
        <v>0</v>
      </c>
      <c r="O298" s="45">
        <f t="shared" ca="1" si="40"/>
        <v>0</v>
      </c>
      <c r="P298" s="82">
        <f t="shared" ca="1" si="34"/>
        <v>16.8</v>
      </c>
      <c r="Q298" s="82">
        <f t="shared" ca="1" si="41"/>
        <v>16.8</v>
      </c>
    </row>
    <row r="299" spans="9:17">
      <c r="I299" s="45">
        <v>291</v>
      </c>
      <c r="J299" s="45">
        <f t="shared" ca="1" si="35"/>
        <v>168</v>
      </c>
      <c r="K299" s="45">
        <f t="shared" ca="1" si="36"/>
        <v>50</v>
      </c>
      <c r="L299" s="45">
        <f t="shared" ca="1" si="38"/>
        <v>118</v>
      </c>
      <c r="M299" s="45">
        <f t="shared" ca="1" si="37"/>
        <v>0</v>
      </c>
      <c r="N299" s="45">
        <f t="shared" ca="1" si="39"/>
        <v>0</v>
      </c>
      <c r="O299" s="45">
        <f t="shared" ca="1" si="40"/>
        <v>0</v>
      </c>
      <c r="P299" s="82">
        <f t="shared" ca="1" si="34"/>
        <v>11.8</v>
      </c>
      <c r="Q299" s="82">
        <f t="shared" ca="1" si="41"/>
        <v>11.8</v>
      </c>
    </row>
    <row r="300" spans="9:17">
      <c r="I300" s="45">
        <v>292</v>
      </c>
      <c r="J300" s="45">
        <f t="shared" ca="1" si="35"/>
        <v>118</v>
      </c>
      <c r="K300" s="45">
        <f t="shared" ca="1" si="36"/>
        <v>52</v>
      </c>
      <c r="L300" s="45">
        <f t="shared" ca="1" si="38"/>
        <v>66</v>
      </c>
      <c r="M300" s="45">
        <f t="shared" ca="1" si="37"/>
        <v>1</v>
      </c>
      <c r="N300" s="45">
        <f t="shared" ca="1" si="39"/>
        <v>1</v>
      </c>
      <c r="O300" s="45">
        <f t="shared" ca="1" si="40"/>
        <v>400</v>
      </c>
      <c r="P300" s="82">
        <f t="shared" ca="1" si="34"/>
        <v>6.6000000000000005</v>
      </c>
      <c r="Q300" s="82">
        <f t="shared" ca="1" si="41"/>
        <v>406.6</v>
      </c>
    </row>
    <row r="301" spans="9:17">
      <c r="I301" s="45">
        <v>293</v>
      </c>
      <c r="J301" s="45">
        <f t="shared" ca="1" si="35"/>
        <v>264</v>
      </c>
      <c r="K301" s="45">
        <f t="shared" ca="1" si="36"/>
        <v>55</v>
      </c>
      <c r="L301" s="45">
        <f t="shared" ca="1" si="38"/>
        <v>209</v>
      </c>
      <c r="M301" s="45">
        <f t="shared" ca="1" si="37"/>
        <v>0</v>
      </c>
      <c r="N301" s="45">
        <f t="shared" ca="1" si="39"/>
        <v>0</v>
      </c>
      <c r="O301" s="45">
        <f t="shared" ca="1" si="40"/>
        <v>0</v>
      </c>
      <c r="P301" s="82">
        <f t="shared" ca="1" si="34"/>
        <v>20.900000000000002</v>
      </c>
      <c r="Q301" s="82">
        <f t="shared" ca="1" si="41"/>
        <v>20.900000000000002</v>
      </c>
    </row>
    <row r="302" spans="9:17">
      <c r="I302" s="45">
        <v>294</v>
      </c>
      <c r="J302" s="45">
        <f t="shared" ca="1" si="35"/>
        <v>209</v>
      </c>
      <c r="K302" s="45">
        <f t="shared" ca="1" si="36"/>
        <v>52</v>
      </c>
      <c r="L302" s="45">
        <f t="shared" ca="1" si="38"/>
        <v>157</v>
      </c>
      <c r="M302" s="45">
        <f t="shared" ca="1" si="37"/>
        <v>0</v>
      </c>
      <c r="N302" s="45">
        <f t="shared" ca="1" si="39"/>
        <v>0</v>
      </c>
      <c r="O302" s="45">
        <f t="shared" ca="1" si="40"/>
        <v>0</v>
      </c>
      <c r="P302" s="82">
        <f t="shared" ca="1" si="34"/>
        <v>15.700000000000001</v>
      </c>
      <c r="Q302" s="82">
        <f t="shared" ca="1" si="41"/>
        <v>15.700000000000001</v>
      </c>
    </row>
    <row r="303" spans="9:17">
      <c r="I303" s="45">
        <v>295</v>
      </c>
      <c r="J303" s="45">
        <f t="shared" ca="1" si="35"/>
        <v>157</v>
      </c>
      <c r="K303" s="45">
        <f t="shared" ca="1" si="36"/>
        <v>55</v>
      </c>
      <c r="L303" s="45">
        <f t="shared" ca="1" si="38"/>
        <v>102</v>
      </c>
      <c r="M303" s="45">
        <f t="shared" ca="1" si="37"/>
        <v>0</v>
      </c>
      <c r="N303" s="45">
        <f t="shared" ca="1" si="39"/>
        <v>0</v>
      </c>
      <c r="O303" s="45">
        <f t="shared" ca="1" si="40"/>
        <v>0</v>
      </c>
      <c r="P303" s="82">
        <f t="shared" ca="1" si="34"/>
        <v>10.200000000000001</v>
      </c>
      <c r="Q303" s="82">
        <f t="shared" ca="1" si="41"/>
        <v>10.200000000000001</v>
      </c>
    </row>
    <row r="304" spans="9:17">
      <c r="I304" s="45">
        <v>296</v>
      </c>
      <c r="J304" s="45">
        <f t="shared" ca="1" si="35"/>
        <v>102</v>
      </c>
      <c r="K304" s="45">
        <f t="shared" ca="1" si="36"/>
        <v>51</v>
      </c>
      <c r="L304" s="45">
        <f t="shared" ca="1" si="38"/>
        <v>51</v>
      </c>
      <c r="M304" s="45">
        <f t="shared" ca="1" si="37"/>
        <v>1</v>
      </c>
      <c r="N304" s="45">
        <f t="shared" ca="1" si="39"/>
        <v>1</v>
      </c>
      <c r="O304" s="45">
        <f t="shared" ca="1" si="40"/>
        <v>400</v>
      </c>
      <c r="P304" s="82">
        <f t="shared" ca="1" si="34"/>
        <v>5.1000000000000005</v>
      </c>
      <c r="Q304" s="82">
        <f t="shared" ca="1" si="41"/>
        <v>405.1</v>
      </c>
    </row>
    <row r="305" spans="9:17">
      <c r="I305" s="45">
        <v>297</v>
      </c>
      <c r="J305" s="45">
        <f t="shared" ca="1" si="35"/>
        <v>249</v>
      </c>
      <c r="K305" s="45">
        <f t="shared" ca="1" si="36"/>
        <v>52</v>
      </c>
      <c r="L305" s="45">
        <f t="shared" ca="1" si="38"/>
        <v>197</v>
      </c>
      <c r="M305" s="45">
        <f t="shared" ca="1" si="37"/>
        <v>0</v>
      </c>
      <c r="N305" s="45">
        <f t="shared" ca="1" si="39"/>
        <v>0</v>
      </c>
      <c r="O305" s="45">
        <f t="shared" ca="1" si="40"/>
        <v>0</v>
      </c>
      <c r="P305" s="82">
        <f t="shared" ca="1" si="34"/>
        <v>19.700000000000003</v>
      </c>
      <c r="Q305" s="82">
        <f t="shared" ca="1" si="41"/>
        <v>19.700000000000003</v>
      </c>
    </row>
    <row r="306" spans="9:17">
      <c r="I306" s="45">
        <v>298</v>
      </c>
      <c r="J306" s="45">
        <f t="shared" ca="1" si="35"/>
        <v>197</v>
      </c>
      <c r="K306" s="45">
        <f t="shared" ca="1" si="36"/>
        <v>55</v>
      </c>
      <c r="L306" s="45">
        <f t="shared" ca="1" si="38"/>
        <v>142</v>
      </c>
      <c r="M306" s="45">
        <f t="shared" ca="1" si="37"/>
        <v>0</v>
      </c>
      <c r="N306" s="45">
        <f t="shared" ca="1" si="39"/>
        <v>0</v>
      </c>
      <c r="O306" s="45">
        <f t="shared" ca="1" si="40"/>
        <v>0</v>
      </c>
      <c r="P306" s="82">
        <f t="shared" ca="1" si="34"/>
        <v>14.200000000000001</v>
      </c>
      <c r="Q306" s="82">
        <f t="shared" ca="1" si="41"/>
        <v>14.200000000000001</v>
      </c>
    </row>
    <row r="307" spans="9:17">
      <c r="I307" s="45">
        <v>299</v>
      </c>
      <c r="J307" s="45">
        <f t="shared" ca="1" si="35"/>
        <v>142</v>
      </c>
      <c r="K307" s="45">
        <f t="shared" ca="1" si="36"/>
        <v>54</v>
      </c>
      <c r="L307" s="45">
        <f t="shared" ca="1" si="38"/>
        <v>88</v>
      </c>
      <c r="M307" s="45">
        <f t="shared" ca="1" si="37"/>
        <v>1</v>
      </c>
      <c r="N307" s="45">
        <f t="shared" ca="1" si="39"/>
        <v>2</v>
      </c>
      <c r="O307" s="45">
        <f t="shared" ca="1" si="40"/>
        <v>400</v>
      </c>
      <c r="P307" s="82">
        <f t="shared" ca="1" si="34"/>
        <v>8.8000000000000007</v>
      </c>
      <c r="Q307" s="82">
        <f t="shared" ca="1" si="41"/>
        <v>408.8</v>
      </c>
    </row>
    <row r="308" spans="9:17">
      <c r="I308" s="45">
        <v>300</v>
      </c>
      <c r="J308" s="45">
        <f t="shared" ca="1" si="35"/>
        <v>88</v>
      </c>
      <c r="K308" s="45">
        <f t="shared" ca="1" si="36"/>
        <v>52</v>
      </c>
      <c r="L308" s="45">
        <f t="shared" ca="1" si="38"/>
        <v>36</v>
      </c>
      <c r="M308" s="45">
        <f t="shared" ca="1" si="37"/>
        <v>0</v>
      </c>
      <c r="N308" s="45">
        <f t="shared" ca="1" si="39"/>
        <v>0</v>
      </c>
      <c r="O308" s="45">
        <f t="shared" ca="1" si="40"/>
        <v>0</v>
      </c>
      <c r="P308" s="82">
        <f t="shared" ca="1" si="34"/>
        <v>3.6</v>
      </c>
      <c r="Q308" s="82">
        <f t="shared" ca="1" si="41"/>
        <v>3.6</v>
      </c>
    </row>
    <row r="309" spans="9:17">
      <c r="I309" s="45">
        <v>301</v>
      </c>
      <c r="J309" s="45">
        <f t="shared" ca="1" si="35"/>
        <v>234</v>
      </c>
      <c r="K309" s="45">
        <f t="shared" ca="1" si="36"/>
        <v>51</v>
      </c>
      <c r="L309" s="45">
        <f t="shared" ca="1" si="38"/>
        <v>183</v>
      </c>
      <c r="M309" s="45">
        <f t="shared" ca="1" si="37"/>
        <v>0</v>
      </c>
      <c r="N309" s="45">
        <f t="shared" ca="1" si="39"/>
        <v>0</v>
      </c>
      <c r="O309" s="45">
        <f t="shared" ca="1" si="40"/>
        <v>0</v>
      </c>
      <c r="P309" s="82">
        <f t="shared" ca="1" si="34"/>
        <v>18.3</v>
      </c>
      <c r="Q309" s="82">
        <f t="shared" ca="1" si="41"/>
        <v>18.3</v>
      </c>
    </row>
    <row r="310" spans="9:17">
      <c r="I310" s="45">
        <v>302</v>
      </c>
      <c r="J310" s="45">
        <f t="shared" ca="1" si="35"/>
        <v>183</v>
      </c>
      <c r="K310" s="45">
        <f t="shared" ca="1" si="36"/>
        <v>50</v>
      </c>
      <c r="L310" s="45">
        <f t="shared" ca="1" si="38"/>
        <v>133</v>
      </c>
      <c r="M310" s="45">
        <f t="shared" ca="1" si="37"/>
        <v>0</v>
      </c>
      <c r="N310" s="45">
        <f t="shared" ca="1" si="39"/>
        <v>0</v>
      </c>
      <c r="O310" s="45">
        <f t="shared" ca="1" si="40"/>
        <v>0</v>
      </c>
      <c r="P310" s="82">
        <f t="shared" ca="1" si="34"/>
        <v>13.3</v>
      </c>
      <c r="Q310" s="82">
        <f t="shared" ca="1" si="41"/>
        <v>13.3</v>
      </c>
    </row>
    <row r="311" spans="9:17">
      <c r="I311" s="45">
        <v>303</v>
      </c>
      <c r="J311" s="45">
        <f t="shared" ca="1" si="35"/>
        <v>133</v>
      </c>
      <c r="K311" s="45">
        <f t="shared" ca="1" si="36"/>
        <v>52</v>
      </c>
      <c r="L311" s="45">
        <f t="shared" ca="1" si="38"/>
        <v>81</v>
      </c>
      <c r="M311" s="45">
        <f t="shared" ca="1" si="37"/>
        <v>1</v>
      </c>
      <c r="N311" s="45">
        <f t="shared" ca="1" si="39"/>
        <v>2</v>
      </c>
      <c r="O311" s="45">
        <f t="shared" ca="1" si="40"/>
        <v>400</v>
      </c>
      <c r="P311" s="82">
        <f t="shared" ca="1" si="34"/>
        <v>8.1</v>
      </c>
      <c r="Q311" s="82">
        <f t="shared" ca="1" si="41"/>
        <v>408.1</v>
      </c>
    </row>
    <row r="312" spans="9:17">
      <c r="I312" s="45">
        <v>304</v>
      </c>
      <c r="J312" s="45">
        <f t="shared" ca="1" si="35"/>
        <v>81</v>
      </c>
      <c r="K312" s="45">
        <f t="shared" ca="1" si="36"/>
        <v>55</v>
      </c>
      <c r="L312" s="45">
        <f t="shared" ca="1" si="38"/>
        <v>26</v>
      </c>
      <c r="M312" s="45">
        <f t="shared" ca="1" si="37"/>
        <v>0</v>
      </c>
      <c r="N312" s="45">
        <f t="shared" ca="1" si="39"/>
        <v>0</v>
      </c>
      <c r="O312" s="45">
        <f t="shared" ca="1" si="40"/>
        <v>0</v>
      </c>
      <c r="P312" s="82">
        <f t="shared" ca="1" si="34"/>
        <v>2.6</v>
      </c>
      <c r="Q312" s="82">
        <f t="shared" ca="1" si="41"/>
        <v>2.6</v>
      </c>
    </row>
    <row r="313" spans="9:17">
      <c r="I313" s="45">
        <v>305</v>
      </c>
      <c r="J313" s="45">
        <f t="shared" ca="1" si="35"/>
        <v>224</v>
      </c>
      <c r="K313" s="45">
        <f t="shared" ca="1" si="36"/>
        <v>54</v>
      </c>
      <c r="L313" s="45">
        <f t="shared" ca="1" si="38"/>
        <v>170</v>
      </c>
      <c r="M313" s="45">
        <f t="shared" ca="1" si="37"/>
        <v>0</v>
      </c>
      <c r="N313" s="45">
        <f t="shared" ca="1" si="39"/>
        <v>0</v>
      </c>
      <c r="O313" s="45">
        <f t="shared" ca="1" si="40"/>
        <v>0</v>
      </c>
      <c r="P313" s="82">
        <f t="shared" ca="1" si="34"/>
        <v>17</v>
      </c>
      <c r="Q313" s="82">
        <f t="shared" ca="1" si="41"/>
        <v>17</v>
      </c>
    </row>
    <row r="314" spans="9:17">
      <c r="I314" s="45">
        <v>306</v>
      </c>
      <c r="J314" s="45">
        <f t="shared" ca="1" si="35"/>
        <v>170</v>
      </c>
      <c r="K314" s="45">
        <f t="shared" ca="1" si="36"/>
        <v>54</v>
      </c>
      <c r="L314" s="45">
        <f t="shared" ca="1" si="38"/>
        <v>116</v>
      </c>
      <c r="M314" s="45">
        <f t="shared" ca="1" si="37"/>
        <v>0</v>
      </c>
      <c r="N314" s="45">
        <f t="shared" ca="1" si="39"/>
        <v>0</v>
      </c>
      <c r="O314" s="45">
        <f t="shared" ca="1" si="40"/>
        <v>0</v>
      </c>
      <c r="P314" s="82">
        <f t="shared" ca="1" si="34"/>
        <v>11.600000000000001</v>
      </c>
      <c r="Q314" s="82">
        <f t="shared" ca="1" si="41"/>
        <v>11.600000000000001</v>
      </c>
    </row>
    <row r="315" spans="9:17">
      <c r="I315" s="45">
        <v>307</v>
      </c>
      <c r="J315" s="45">
        <f t="shared" ca="1" si="35"/>
        <v>116</v>
      </c>
      <c r="K315" s="45">
        <f t="shared" ca="1" si="36"/>
        <v>54</v>
      </c>
      <c r="L315" s="45">
        <f t="shared" ca="1" si="38"/>
        <v>62</v>
      </c>
      <c r="M315" s="45">
        <f t="shared" ca="1" si="37"/>
        <v>1</v>
      </c>
      <c r="N315" s="45">
        <f t="shared" ca="1" si="39"/>
        <v>1</v>
      </c>
      <c r="O315" s="45">
        <f t="shared" ca="1" si="40"/>
        <v>400</v>
      </c>
      <c r="P315" s="82">
        <f t="shared" ca="1" si="34"/>
        <v>6.2</v>
      </c>
      <c r="Q315" s="82">
        <f t="shared" ca="1" si="41"/>
        <v>406.2</v>
      </c>
    </row>
    <row r="316" spans="9:17">
      <c r="I316" s="45">
        <v>308</v>
      </c>
      <c r="J316" s="45">
        <f t="shared" ca="1" si="35"/>
        <v>260</v>
      </c>
      <c r="K316" s="45">
        <f t="shared" ca="1" si="36"/>
        <v>55</v>
      </c>
      <c r="L316" s="45">
        <f t="shared" ca="1" si="38"/>
        <v>205</v>
      </c>
      <c r="M316" s="45">
        <f t="shared" ca="1" si="37"/>
        <v>0</v>
      </c>
      <c r="N316" s="45">
        <f t="shared" ca="1" si="39"/>
        <v>0</v>
      </c>
      <c r="O316" s="45">
        <f t="shared" ca="1" si="40"/>
        <v>0</v>
      </c>
      <c r="P316" s="82">
        <f t="shared" ca="1" si="34"/>
        <v>20.5</v>
      </c>
      <c r="Q316" s="82">
        <f t="shared" ca="1" si="41"/>
        <v>20.5</v>
      </c>
    </row>
    <row r="317" spans="9:17">
      <c r="I317" s="45">
        <v>309</v>
      </c>
      <c r="J317" s="45">
        <f t="shared" ca="1" si="35"/>
        <v>205</v>
      </c>
      <c r="K317" s="45">
        <f t="shared" ca="1" si="36"/>
        <v>51</v>
      </c>
      <c r="L317" s="45">
        <f t="shared" ca="1" si="38"/>
        <v>154</v>
      </c>
      <c r="M317" s="45">
        <f t="shared" ca="1" si="37"/>
        <v>0</v>
      </c>
      <c r="N317" s="45">
        <f t="shared" ca="1" si="39"/>
        <v>0</v>
      </c>
      <c r="O317" s="45">
        <f t="shared" ca="1" si="40"/>
        <v>0</v>
      </c>
      <c r="P317" s="82">
        <f t="shared" ca="1" si="34"/>
        <v>15.4</v>
      </c>
      <c r="Q317" s="82">
        <f t="shared" ca="1" si="41"/>
        <v>15.4</v>
      </c>
    </row>
    <row r="318" spans="9:17">
      <c r="I318" s="45">
        <v>310</v>
      </c>
      <c r="J318" s="45">
        <f t="shared" ca="1" si="35"/>
        <v>154</v>
      </c>
      <c r="K318" s="45">
        <f t="shared" ca="1" si="36"/>
        <v>55</v>
      </c>
      <c r="L318" s="45">
        <f t="shared" ca="1" si="38"/>
        <v>99</v>
      </c>
      <c r="M318" s="45">
        <f t="shared" ca="1" si="37"/>
        <v>1</v>
      </c>
      <c r="N318" s="45">
        <f t="shared" ca="1" si="39"/>
        <v>2</v>
      </c>
      <c r="O318" s="45">
        <f t="shared" ca="1" si="40"/>
        <v>400</v>
      </c>
      <c r="P318" s="82">
        <f t="shared" ca="1" si="34"/>
        <v>9.9</v>
      </c>
      <c r="Q318" s="82">
        <f t="shared" ca="1" si="41"/>
        <v>409.9</v>
      </c>
    </row>
    <row r="319" spans="9:17">
      <c r="I319" s="45">
        <v>311</v>
      </c>
      <c r="J319" s="45">
        <f t="shared" ca="1" si="35"/>
        <v>99</v>
      </c>
      <c r="K319" s="45">
        <f t="shared" ca="1" si="36"/>
        <v>55</v>
      </c>
      <c r="L319" s="45">
        <f t="shared" ca="1" si="38"/>
        <v>44</v>
      </c>
      <c r="M319" s="45">
        <f t="shared" ca="1" si="37"/>
        <v>0</v>
      </c>
      <c r="N319" s="45">
        <f t="shared" ca="1" si="39"/>
        <v>0</v>
      </c>
      <c r="O319" s="45">
        <f t="shared" ca="1" si="40"/>
        <v>0</v>
      </c>
      <c r="P319" s="82">
        <f t="shared" ca="1" si="34"/>
        <v>4.4000000000000004</v>
      </c>
      <c r="Q319" s="82">
        <f t="shared" ca="1" si="41"/>
        <v>4.4000000000000004</v>
      </c>
    </row>
    <row r="320" spans="9:17">
      <c r="I320" s="45">
        <v>312</v>
      </c>
      <c r="J320" s="45">
        <f t="shared" ca="1" si="35"/>
        <v>242</v>
      </c>
      <c r="K320" s="45">
        <f t="shared" ca="1" si="36"/>
        <v>52</v>
      </c>
      <c r="L320" s="45">
        <f t="shared" ca="1" si="38"/>
        <v>190</v>
      </c>
      <c r="M320" s="45">
        <f t="shared" ca="1" si="37"/>
        <v>0</v>
      </c>
      <c r="N320" s="45">
        <f t="shared" ca="1" si="39"/>
        <v>0</v>
      </c>
      <c r="O320" s="45">
        <f t="shared" ca="1" si="40"/>
        <v>0</v>
      </c>
      <c r="P320" s="82">
        <f t="shared" ca="1" si="34"/>
        <v>19</v>
      </c>
      <c r="Q320" s="82">
        <f t="shared" ca="1" si="41"/>
        <v>19</v>
      </c>
    </row>
    <row r="321" spans="9:17">
      <c r="I321" s="45">
        <v>313</v>
      </c>
      <c r="J321" s="45">
        <f t="shared" ca="1" si="35"/>
        <v>190</v>
      </c>
      <c r="K321" s="45">
        <f t="shared" ca="1" si="36"/>
        <v>51</v>
      </c>
      <c r="L321" s="45">
        <f t="shared" ca="1" si="38"/>
        <v>139</v>
      </c>
      <c r="M321" s="45">
        <f t="shared" ca="1" si="37"/>
        <v>0</v>
      </c>
      <c r="N321" s="45">
        <f t="shared" ca="1" si="39"/>
        <v>0</v>
      </c>
      <c r="O321" s="45">
        <f t="shared" ca="1" si="40"/>
        <v>0</v>
      </c>
      <c r="P321" s="82">
        <f t="shared" ca="1" si="34"/>
        <v>13.9</v>
      </c>
      <c r="Q321" s="82">
        <f t="shared" ca="1" si="41"/>
        <v>13.9</v>
      </c>
    </row>
    <row r="322" spans="9:17">
      <c r="I322" s="45">
        <v>314</v>
      </c>
      <c r="J322" s="45">
        <f t="shared" ca="1" si="35"/>
        <v>139</v>
      </c>
      <c r="K322" s="45">
        <f t="shared" ca="1" si="36"/>
        <v>51</v>
      </c>
      <c r="L322" s="45">
        <f t="shared" ca="1" si="38"/>
        <v>88</v>
      </c>
      <c r="M322" s="45">
        <f t="shared" ca="1" si="37"/>
        <v>1</v>
      </c>
      <c r="N322" s="45">
        <f t="shared" ca="1" si="39"/>
        <v>1</v>
      </c>
      <c r="O322" s="45">
        <f t="shared" ca="1" si="40"/>
        <v>400</v>
      </c>
      <c r="P322" s="82">
        <f t="shared" ca="1" si="34"/>
        <v>8.8000000000000007</v>
      </c>
      <c r="Q322" s="82">
        <f t="shared" ca="1" si="41"/>
        <v>408.8</v>
      </c>
    </row>
    <row r="323" spans="9:17">
      <c r="I323" s="45">
        <v>315</v>
      </c>
      <c r="J323" s="45">
        <f t="shared" ca="1" si="35"/>
        <v>286</v>
      </c>
      <c r="K323" s="45">
        <f t="shared" ca="1" si="36"/>
        <v>51</v>
      </c>
      <c r="L323" s="45">
        <f t="shared" ca="1" si="38"/>
        <v>235</v>
      </c>
      <c r="M323" s="45">
        <f t="shared" ca="1" si="37"/>
        <v>0</v>
      </c>
      <c r="N323" s="45">
        <f t="shared" ca="1" si="39"/>
        <v>0</v>
      </c>
      <c r="O323" s="45">
        <f t="shared" ca="1" si="40"/>
        <v>0</v>
      </c>
      <c r="P323" s="82">
        <f t="shared" ca="1" si="34"/>
        <v>23.5</v>
      </c>
      <c r="Q323" s="82">
        <f t="shared" ca="1" si="41"/>
        <v>23.5</v>
      </c>
    </row>
    <row r="324" spans="9:17">
      <c r="I324" s="45">
        <v>316</v>
      </c>
      <c r="J324" s="45">
        <f t="shared" ca="1" si="35"/>
        <v>235</v>
      </c>
      <c r="K324" s="45">
        <f t="shared" ca="1" si="36"/>
        <v>53</v>
      </c>
      <c r="L324" s="45">
        <f t="shared" ca="1" si="38"/>
        <v>182</v>
      </c>
      <c r="M324" s="45">
        <f t="shared" ca="1" si="37"/>
        <v>0</v>
      </c>
      <c r="N324" s="45">
        <f t="shared" ca="1" si="39"/>
        <v>0</v>
      </c>
      <c r="O324" s="45">
        <f t="shared" ca="1" si="40"/>
        <v>0</v>
      </c>
      <c r="P324" s="82">
        <f t="shared" ca="1" si="34"/>
        <v>18.2</v>
      </c>
      <c r="Q324" s="82">
        <f t="shared" ca="1" si="41"/>
        <v>18.2</v>
      </c>
    </row>
    <row r="325" spans="9:17">
      <c r="I325" s="45">
        <v>317</v>
      </c>
      <c r="J325" s="45">
        <f t="shared" ca="1" si="35"/>
        <v>182</v>
      </c>
      <c r="K325" s="45">
        <f t="shared" ca="1" si="36"/>
        <v>51</v>
      </c>
      <c r="L325" s="45">
        <f t="shared" ca="1" si="38"/>
        <v>131</v>
      </c>
      <c r="M325" s="45">
        <f t="shared" ca="1" si="37"/>
        <v>0</v>
      </c>
      <c r="N325" s="45">
        <f t="shared" ca="1" si="39"/>
        <v>0</v>
      </c>
      <c r="O325" s="45">
        <f t="shared" ca="1" si="40"/>
        <v>0</v>
      </c>
      <c r="P325" s="82">
        <f t="shared" ca="1" si="34"/>
        <v>13.100000000000001</v>
      </c>
      <c r="Q325" s="82">
        <f t="shared" ca="1" si="41"/>
        <v>13.100000000000001</v>
      </c>
    </row>
    <row r="326" spans="9:17">
      <c r="I326" s="45">
        <v>318</v>
      </c>
      <c r="J326" s="45">
        <f t="shared" ca="1" si="35"/>
        <v>131</v>
      </c>
      <c r="K326" s="45">
        <f t="shared" ca="1" si="36"/>
        <v>55</v>
      </c>
      <c r="L326" s="45">
        <f t="shared" ca="1" si="38"/>
        <v>76</v>
      </c>
      <c r="M326" s="45">
        <f t="shared" ca="1" si="37"/>
        <v>1</v>
      </c>
      <c r="N326" s="45">
        <f t="shared" ca="1" si="39"/>
        <v>1</v>
      </c>
      <c r="O326" s="45">
        <f t="shared" ca="1" si="40"/>
        <v>400</v>
      </c>
      <c r="P326" s="82">
        <f t="shared" ca="1" si="34"/>
        <v>7.6000000000000005</v>
      </c>
      <c r="Q326" s="82">
        <f t="shared" ca="1" si="41"/>
        <v>407.6</v>
      </c>
    </row>
    <row r="327" spans="9:17">
      <c r="I327" s="45">
        <v>319</v>
      </c>
      <c r="J327" s="45">
        <f t="shared" ca="1" si="35"/>
        <v>274</v>
      </c>
      <c r="K327" s="45">
        <f t="shared" ca="1" si="36"/>
        <v>53</v>
      </c>
      <c r="L327" s="45">
        <f t="shared" ca="1" si="38"/>
        <v>221</v>
      </c>
      <c r="M327" s="45">
        <f t="shared" ca="1" si="37"/>
        <v>0</v>
      </c>
      <c r="N327" s="45">
        <f t="shared" ca="1" si="39"/>
        <v>0</v>
      </c>
      <c r="O327" s="45">
        <f t="shared" ca="1" si="40"/>
        <v>0</v>
      </c>
      <c r="P327" s="82">
        <f t="shared" ca="1" si="34"/>
        <v>22.1</v>
      </c>
      <c r="Q327" s="82">
        <f t="shared" ca="1" si="41"/>
        <v>22.1</v>
      </c>
    </row>
    <row r="328" spans="9:17">
      <c r="I328" s="45">
        <v>320</v>
      </c>
      <c r="J328" s="45">
        <f t="shared" ca="1" si="35"/>
        <v>221</v>
      </c>
      <c r="K328" s="45">
        <f t="shared" ca="1" si="36"/>
        <v>52</v>
      </c>
      <c r="L328" s="45">
        <f t="shared" ca="1" si="38"/>
        <v>169</v>
      </c>
      <c r="M328" s="45">
        <f t="shared" ca="1" si="37"/>
        <v>0</v>
      </c>
      <c r="N328" s="45">
        <f t="shared" ca="1" si="39"/>
        <v>0</v>
      </c>
      <c r="O328" s="45">
        <f t="shared" ca="1" si="40"/>
        <v>0</v>
      </c>
      <c r="P328" s="82">
        <f t="shared" ca="1" si="34"/>
        <v>16.900000000000002</v>
      </c>
      <c r="Q328" s="82">
        <f t="shared" ca="1" si="41"/>
        <v>16.900000000000002</v>
      </c>
    </row>
    <row r="329" spans="9:17">
      <c r="I329" s="45">
        <v>321</v>
      </c>
      <c r="J329" s="45">
        <f t="shared" ca="1" si="35"/>
        <v>169</v>
      </c>
      <c r="K329" s="45">
        <f t="shared" ca="1" si="36"/>
        <v>53</v>
      </c>
      <c r="L329" s="45">
        <f t="shared" ca="1" si="38"/>
        <v>116</v>
      </c>
      <c r="M329" s="45">
        <f t="shared" ca="1" si="37"/>
        <v>0</v>
      </c>
      <c r="N329" s="45">
        <f t="shared" ca="1" si="39"/>
        <v>0</v>
      </c>
      <c r="O329" s="45">
        <f t="shared" ca="1" si="40"/>
        <v>0</v>
      </c>
      <c r="P329" s="82">
        <f t="shared" ref="P329:P373" ca="1" si="42">L329*$C$5</f>
        <v>11.600000000000001</v>
      </c>
      <c r="Q329" s="82">
        <f t="shared" ca="1" si="41"/>
        <v>11.600000000000001</v>
      </c>
    </row>
    <row r="330" spans="9:17">
      <c r="I330" s="45">
        <v>322</v>
      </c>
      <c r="J330" s="45">
        <f t="shared" ref="J330:J373" ca="1" si="43">L329+IF(N329=1,$C$6,0)+IF(N328=2,$C$6,0)</f>
        <v>116</v>
      </c>
      <c r="K330" s="45">
        <f t="shared" ref="K330:K373" ca="1" si="44">INDEX($E$4:$E$9,MATCH(RAND(),$G$4:$G$10,1))</f>
        <v>53</v>
      </c>
      <c r="L330" s="45">
        <f t="shared" ca="1" si="38"/>
        <v>63</v>
      </c>
      <c r="M330" s="45">
        <f t="shared" ref="M330:M373" ca="1" si="45">IF(L330&lt;2*K331,IF(N329=2,0,1),0)</f>
        <v>1</v>
      </c>
      <c r="N330" s="45">
        <f t="shared" ca="1" si="39"/>
        <v>2</v>
      </c>
      <c r="O330" s="45">
        <f t="shared" ca="1" si="40"/>
        <v>400</v>
      </c>
      <c r="P330" s="82">
        <f t="shared" ca="1" si="42"/>
        <v>6.3000000000000007</v>
      </c>
      <c r="Q330" s="82">
        <f t="shared" ca="1" si="41"/>
        <v>406.3</v>
      </c>
    </row>
    <row r="331" spans="9:17">
      <c r="I331" s="45">
        <v>323</v>
      </c>
      <c r="J331" s="45">
        <f t="shared" ca="1" si="43"/>
        <v>63</v>
      </c>
      <c r="K331" s="45">
        <f t="shared" ca="1" si="44"/>
        <v>54</v>
      </c>
      <c r="L331" s="45">
        <f t="shared" ref="L331:L373" ca="1" si="46">J331-K331</f>
        <v>9</v>
      </c>
      <c r="M331" s="45">
        <f t="shared" ca="1" si="45"/>
        <v>0</v>
      </c>
      <c r="N331" s="45">
        <f t="shared" ref="N331:N373" ca="1" si="47">IF(M331=1,RANDBETWEEN(1,2),0)</f>
        <v>0</v>
      </c>
      <c r="O331" s="45">
        <f t="shared" ref="O331:O373" ca="1" si="48">IF(M331=1,$C$3,0)</f>
        <v>0</v>
      </c>
      <c r="P331" s="82">
        <f t="shared" ca="1" si="42"/>
        <v>0.9</v>
      </c>
      <c r="Q331" s="82">
        <f t="shared" ref="Q331:Q373" ca="1" si="49">O331+P331</f>
        <v>0.9</v>
      </c>
    </row>
    <row r="332" spans="9:17">
      <c r="I332" s="45">
        <v>324</v>
      </c>
      <c r="J332" s="45">
        <f t="shared" ca="1" si="43"/>
        <v>207</v>
      </c>
      <c r="K332" s="45">
        <f t="shared" ca="1" si="44"/>
        <v>53</v>
      </c>
      <c r="L332" s="45">
        <f t="shared" ca="1" si="46"/>
        <v>154</v>
      </c>
      <c r="M332" s="45">
        <f t="shared" ca="1" si="45"/>
        <v>0</v>
      </c>
      <c r="N332" s="45">
        <f t="shared" ca="1" si="47"/>
        <v>0</v>
      </c>
      <c r="O332" s="45">
        <f t="shared" ca="1" si="48"/>
        <v>0</v>
      </c>
      <c r="P332" s="82">
        <f t="shared" ca="1" si="42"/>
        <v>15.4</v>
      </c>
      <c r="Q332" s="82">
        <f t="shared" ca="1" si="49"/>
        <v>15.4</v>
      </c>
    </row>
    <row r="333" spans="9:17">
      <c r="I333" s="45">
        <v>325</v>
      </c>
      <c r="J333" s="45">
        <f t="shared" ca="1" si="43"/>
        <v>154</v>
      </c>
      <c r="K333" s="45">
        <f t="shared" ca="1" si="44"/>
        <v>52</v>
      </c>
      <c r="L333" s="45">
        <f t="shared" ca="1" si="46"/>
        <v>102</v>
      </c>
      <c r="M333" s="45">
        <f t="shared" ca="1" si="45"/>
        <v>1</v>
      </c>
      <c r="N333" s="45">
        <f t="shared" ca="1" si="47"/>
        <v>2</v>
      </c>
      <c r="O333" s="45">
        <f t="shared" ca="1" si="48"/>
        <v>400</v>
      </c>
      <c r="P333" s="82">
        <f t="shared" ca="1" si="42"/>
        <v>10.200000000000001</v>
      </c>
      <c r="Q333" s="82">
        <f t="shared" ca="1" si="49"/>
        <v>410.2</v>
      </c>
    </row>
    <row r="334" spans="9:17">
      <c r="I334" s="45">
        <v>326</v>
      </c>
      <c r="J334" s="45">
        <f t="shared" ca="1" si="43"/>
        <v>102</v>
      </c>
      <c r="K334" s="45">
        <f t="shared" ca="1" si="44"/>
        <v>52</v>
      </c>
      <c r="L334" s="45">
        <f t="shared" ca="1" si="46"/>
        <v>50</v>
      </c>
      <c r="M334" s="45">
        <f t="shared" ca="1" si="45"/>
        <v>0</v>
      </c>
      <c r="N334" s="45">
        <f t="shared" ca="1" si="47"/>
        <v>0</v>
      </c>
      <c r="O334" s="45">
        <f t="shared" ca="1" si="48"/>
        <v>0</v>
      </c>
      <c r="P334" s="82">
        <f t="shared" ca="1" si="42"/>
        <v>5</v>
      </c>
      <c r="Q334" s="82">
        <f t="shared" ca="1" si="49"/>
        <v>5</v>
      </c>
    </row>
    <row r="335" spans="9:17">
      <c r="I335" s="45">
        <v>327</v>
      </c>
      <c r="J335" s="45">
        <f t="shared" ca="1" si="43"/>
        <v>248</v>
      </c>
      <c r="K335" s="45">
        <f t="shared" ca="1" si="44"/>
        <v>54</v>
      </c>
      <c r="L335" s="45">
        <f t="shared" ca="1" si="46"/>
        <v>194</v>
      </c>
      <c r="M335" s="45">
        <f t="shared" ca="1" si="45"/>
        <v>0</v>
      </c>
      <c r="N335" s="45">
        <f t="shared" ca="1" si="47"/>
        <v>0</v>
      </c>
      <c r="O335" s="45">
        <f t="shared" ca="1" si="48"/>
        <v>0</v>
      </c>
      <c r="P335" s="82">
        <f t="shared" ca="1" si="42"/>
        <v>19.400000000000002</v>
      </c>
      <c r="Q335" s="82">
        <f t="shared" ca="1" si="49"/>
        <v>19.400000000000002</v>
      </c>
    </row>
    <row r="336" spans="9:17">
      <c r="I336" s="45">
        <v>328</v>
      </c>
      <c r="J336" s="45">
        <f t="shared" ca="1" si="43"/>
        <v>194</v>
      </c>
      <c r="K336" s="45">
        <f t="shared" ca="1" si="44"/>
        <v>54</v>
      </c>
      <c r="L336" s="45">
        <f t="shared" ca="1" si="46"/>
        <v>140</v>
      </c>
      <c r="M336" s="45">
        <f t="shared" ca="1" si="45"/>
        <v>0</v>
      </c>
      <c r="N336" s="45">
        <f t="shared" ca="1" si="47"/>
        <v>0</v>
      </c>
      <c r="O336" s="45">
        <f t="shared" ca="1" si="48"/>
        <v>0</v>
      </c>
      <c r="P336" s="82">
        <f t="shared" ca="1" si="42"/>
        <v>14</v>
      </c>
      <c r="Q336" s="82">
        <f t="shared" ca="1" si="49"/>
        <v>14</v>
      </c>
    </row>
    <row r="337" spans="9:17">
      <c r="I337" s="45">
        <v>329</v>
      </c>
      <c r="J337" s="45">
        <f t="shared" ca="1" si="43"/>
        <v>140</v>
      </c>
      <c r="K337" s="45">
        <f t="shared" ca="1" si="44"/>
        <v>52</v>
      </c>
      <c r="L337" s="45">
        <f t="shared" ca="1" si="46"/>
        <v>88</v>
      </c>
      <c r="M337" s="45">
        <f t="shared" ca="1" si="45"/>
        <v>1</v>
      </c>
      <c r="N337" s="45">
        <f t="shared" ca="1" si="47"/>
        <v>1</v>
      </c>
      <c r="O337" s="45">
        <f t="shared" ca="1" si="48"/>
        <v>400</v>
      </c>
      <c r="P337" s="82">
        <f t="shared" ca="1" si="42"/>
        <v>8.8000000000000007</v>
      </c>
      <c r="Q337" s="82">
        <f t="shared" ca="1" si="49"/>
        <v>408.8</v>
      </c>
    </row>
    <row r="338" spans="9:17">
      <c r="I338" s="45">
        <v>330</v>
      </c>
      <c r="J338" s="45">
        <f t="shared" ca="1" si="43"/>
        <v>286</v>
      </c>
      <c r="K338" s="45">
        <f t="shared" ca="1" si="44"/>
        <v>54</v>
      </c>
      <c r="L338" s="45">
        <f t="shared" ca="1" si="46"/>
        <v>232</v>
      </c>
      <c r="M338" s="45">
        <f t="shared" ca="1" si="45"/>
        <v>0</v>
      </c>
      <c r="N338" s="45">
        <f t="shared" ca="1" si="47"/>
        <v>0</v>
      </c>
      <c r="O338" s="45">
        <f t="shared" ca="1" si="48"/>
        <v>0</v>
      </c>
      <c r="P338" s="82">
        <f t="shared" ca="1" si="42"/>
        <v>23.200000000000003</v>
      </c>
      <c r="Q338" s="82">
        <f t="shared" ca="1" si="49"/>
        <v>23.200000000000003</v>
      </c>
    </row>
    <row r="339" spans="9:17">
      <c r="I339" s="45">
        <v>331</v>
      </c>
      <c r="J339" s="45">
        <f t="shared" ca="1" si="43"/>
        <v>232</v>
      </c>
      <c r="K339" s="45">
        <f t="shared" ca="1" si="44"/>
        <v>51</v>
      </c>
      <c r="L339" s="45">
        <f t="shared" ca="1" si="46"/>
        <v>181</v>
      </c>
      <c r="M339" s="45">
        <f t="shared" ca="1" si="45"/>
        <v>0</v>
      </c>
      <c r="N339" s="45">
        <f t="shared" ca="1" si="47"/>
        <v>0</v>
      </c>
      <c r="O339" s="45">
        <f t="shared" ca="1" si="48"/>
        <v>0</v>
      </c>
      <c r="P339" s="82">
        <f t="shared" ca="1" si="42"/>
        <v>18.100000000000001</v>
      </c>
      <c r="Q339" s="82">
        <f t="shared" ca="1" si="49"/>
        <v>18.100000000000001</v>
      </c>
    </row>
    <row r="340" spans="9:17">
      <c r="I340" s="45">
        <v>332</v>
      </c>
      <c r="J340" s="45">
        <f t="shared" ca="1" si="43"/>
        <v>181</v>
      </c>
      <c r="K340" s="45">
        <f t="shared" ca="1" si="44"/>
        <v>50</v>
      </c>
      <c r="L340" s="45">
        <f t="shared" ca="1" si="46"/>
        <v>131</v>
      </c>
      <c r="M340" s="45">
        <f t="shared" ca="1" si="45"/>
        <v>0</v>
      </c>
      <c r="N340" s="45">
        <f t="shared" ca="1" si="47"/>
        <v>0</v>
      </c>
      <c r="O340" s="45">
        <f t="shared" ca="1" si="48"/>
        <v>0</v>
      </c>
      <c r="P340" s="82">
        <f t="shared" ca="1" si="42"/>
        <v>13.100000000000001</v>
      </c>
      <c r="Q340" s="82">
        <f t="shared" ca="1" si="49"/>
        <v>13.100000000000001</v>
      </c>
    </row>
    <row r="341" spans="9:17">
      <c r="I341" s="45">
        <v>333</v>
      </c>
      <c r="J341" s="45">
        <f t="shared" ca="1" si="43"/>
        <v>131</v>
      </c>
      <c r="K341" s="45">
        <f t="shared" ca="1" si="44"/>
        <v>55</v>
      </c>
      <c r="L341" s="45">
        <f t="shared" ca="1" si="46"/>
        <v>76</v>
      </c>
      <c r="M341" s="45">
        <f t="shared" ca="1" si="45"/>
        <v>1</v>
      </c>
      <c r="N341" s="45">
        <f t="shared" ca="1" si="47"/>
        <v>1</v>
      </c>
      <c r="O341" s="45">
        <f t="shared" ca="1" si="48"/>
        <v>400</v>
      </c>
      <c r="P341" s="82">
        <f t="shared" ca="1" si="42"/>
        <v>7.6000000000000005</v>
      </c>
      <c r="Q341" s="82">
        <f t="shared" ca="1" si="49"/>
        <v>407.6</v>
      </c>
    </row>
    <row r="342" spans="9:17">
      <c r="I342" s="45">
        <v>334</v>
      </c>
      <c r="J342" s="45">
        <f t="shared" ca="1" si="43"/>
        <v>274</v>
      </c>
      <c r="K342" s="45">
        <f t="shared" ca="1" si="44"/>
        <v>52</v>
      </c>
      <c r="L342" s="45">
        <f t="shared" ca="1" si="46"/>
        <v>222</v>
      </c>
      <c r="M342" s="45">
        <f t="shared" ca="1" si="45"/>
        <v>0</v>
      </c>
      <c r="N342" s="45">
        <f t="shared" ca="1" si="47"/>
        <v>0</v>
      </c>
      <c r="O342" s="45">
        <f t="shared" ca="1" si="48"/>
        <v>0</v>
      </c>
      <c r="P342" s="82">
        <f t="shared" ca="1" si="42"/>
        <v>22.200000000000003</v>
      </c>
      <c r="Q342" s="82">
        <f t="shared" ca="1" si="49"/>
        <v>22.200000000000003</v>
      </c>
    </row>
    <row r="343" spans="9:17">
      <c r="I343" s="45">
        <v>335</v>
      </c>
      <c r="J343" s="45">
        <f t="shared" ca="1" si="43"/>
        <v>222</v>
      </c>
      <c r="K343" s="45">
        <f t="shared" ca="1" si="44"/>
        <v>52</v>
      </c>
      <c r="L343" s="45">
        <f t="shared" ca="1" si="46"/>
        <v>170</v>
      </c>
      <c r="M343" s="45">
        <f t="shared" ca="1" si="45"/>
        <v>0</v>
      </c>
      <c r="N343" s="45">
        <f t="shared" ca="1" si="47"/>
        <v>0</v>
      </c>
      <c r="O343" s="45">
        <f t="shared" ca="1" si="48"/>
        <v>0</v>
      </c>
      <c r="P343" s="82">
        <f t="shared" ca="1" si="42"/>
        <v>17</v>
      </c>
      <c r="Q343" s="82">
        <f t="shared" ca="1" si="49"/>
        <v>17</v>
      </c>
    </row>
    <row r="344" spans="9:17">
      <c r="I344" s="45">
        <v>336</v>
      </c>
      <c r="J344" s="45">
        <f t="shared" ca="1" si="43"/>
        <v>170</v>
      </c>
      <c r="K344" s="45">
        <f t="shared" ca="1" si="44"/>
        <v>55</v>
      </c>
      <c r="L344" s="45">
        <f t="shared" ca="1" si="46"/>
        <v>115</v>
      </c>
      <c r="M344" s="45">
        <f t="shared" ca="1" si="45"/>
        <v>0</v>
      </c>
      <c r="N344" s="45">
        <f t="shared" ca="1" si="47"/>
        <v>0</v>
      </c>
      <c r="O344" s="45">
        <f t="shared" ca="1" si="48"/>
        <v>0</v>
      </c>
      <c r="P344" s="82">
        <f t="shared" ca="1" si="42"/>
        <v>11.5</v>
      </c>
      <c r="Q344" s="82">
        <f t="shared" ca="1" si="49"/>
        <v>11.5</v>
      </c>
    </row>
    <row r="345" spans="9:17">
      <c r="I345" s="45">
        <v>337</v>
      </c>
      <c r="J345" s="45">
        <f t="shared" ca="1" si="43"/>
        <v>115</v>
      </c>
      <c r="K345" s="45">
        <f t="shared" ca="1" si="44"/>
        <v>53</v>
      </c>
      <c r="L345" s="45">
        <f t="shared" ca="1" si="46"/>
        <v>62</v>
      </c>
      <c r="M345" s="45">
        <f t="shared" ca="1" si="45"/>
        <v>1</v>
      </c>
      <c r="N345" s="45">
        <f t="shared" ca="1" si="47"/>
        <v>1</v>
      </c>
      <c r="O345" s="45">
        <f t="shared" ca="1" si="48"/>
        <v>400</v>
      </c>
      <c r="P345" s="82">
        <f t="shared" ca="1" si="42"/>
        <v>6.2</v>
      </c>
      <c r="Q345" s="82">
        <f t="shared" ca="1" si="49"/>
        <v>406.2</v>
      </c>
    </row>
    <row r="346" spans="9:17">
      <c r="I346" s="45">
        <v>338</v>
      </c>
      <c r="J346" s="45">
        <f t="shared" ca="1" si="43"/>
        <v>260</v>
      </c>
      <c r="K346" s="45">
        <f t="shared" ca="1" si="44"/>
        <v>54</v>
      </c>
      <c r="L346" s="45">
        <f t="shared" ca="1" si="46"/>
        <v>206</v>
      </c>
      <c r="M346" s="45">
        <f t="shared" ca="1" si="45"/>
        <v>0</v>
      </c>
      <c r="N346" s="45">
        <f t="shared" ca="1" si="47"/>
        <v>0</v>
      </c>
      <c r="O346" s="45">
        <f t="shared" ca="1" si="48"/>
        <v>0</v>
      </c>
      <c r="P346" s="82">
        <f t="shared" ca="1" si="42"/>
        <v>20.6</v>
      </c>
      <c r="Q346" s="82">
        <f t="shared" ca="1" si="49"/>
        <v>20.6</v>
      </c>
    </row>
    <row r="347" spans="9:17">
      <c r="I347" s="45">
        <v>339</v>
      </c>
      <c r="J347" s="45">
        <f t="shared" ca="1" si="43"/>
        <v>206</v>
      </c>
      <c r="K347" s="45">
        <f t="shared" ca="1" si="44"/>
        <v>51</v>
      </c>
      <c r="L347" s="45">
        <f t="shared" ca="1" si="46"/>
        <v>155</v>
      </c>
      <c r="M347" s="45">
        <f t="shared" ca="1" si="45"/>
        <v>0</v>
      </c>
      <c r="N347" s="45">
        <f t="shared" ca="1" si="47"/>
        <v>0</v>
      </c>
      <c r="O347" s="45">
        <f t="shared" ca="1" si="48"/>
        <v>0</v>
      </c>
      <c r="P347" s="82">
        <f t="shared" ca="1" si="42"/>
        <v>15.5</v>
      </c>
      <c r="Q347" s="82">
        <f t="shared" ca="1" si="49"/>
        <v>15.5</v>
      </c>
    </row>
    <row r="348" spans="9:17">
      <c r="I348" s="45">
        <v>340</v>
      </c>
      <c r="J348" s="45">
        <f t="shared" ca="1" si="43"/>
        <v>155</v>
      </c>
      <c r="K348" s="45">
        <f t="shared" ca="1" si="44"/>
        <v>51</v>
      </c>
      <c r="L348" s="45">
        <f t="shared" ca="1" si="46"/>
        <v>104</v>
      </c>
      <c r="M348" s="45">
        <f t="shared" ca="1" si="45"/>
        <v>1</v>
      </c>
      <c r="N348" s="45">
        <f t="shared" ca="1" si="47"/>
        <v>1</v>
      </c>
      <c r="O348" s="45">
        <f t="shared" ca="1" si="48"/>
        <v>400</v>
      </c>
      <c r="P348" s="82">
        <f t="shared" ca="1" si="42"/>
        <v>10.4</v>
      </c>
      <c r="Q348" s="82">
        <f t="shared" ca="1" si="49"/>
        <v>410.4</v>
      </c>
    </row>
    <row r="349" spans="9:17">
      <c r="I349" s="45">
        <v>341</v>
      </c>
      <c r="J349" s="45">
        <f t="shared" ca="1" si="43"/>
        <v>302</v>
      </c>
      <c r="K349" s="45">
        <f t="shared" ca="1" si="44"/>
        <v>54</v>
      </c>
      <c r="L349" s="45">
        <f t="shared" ca="1" si="46"/>
        <v>248</v>
      </c>
      <c r="M349" s="45">
        <f t="shared" ca="1" si="45"/>
        <v>0</v>
      </c>
      <c r="N349" s="45">
        <f t="shared" ca="1" si="47"/>
        <v>0</v>
      </c>
      <c r="O349" s="45">
        <f t="shared" ca="1" si="48"/>
        <v>0</v>
      </c>
      <c r="P349" s="82">
        <f t="shared" ca="1" si="42"/>
        <v>24.8</v>
      </c>
      <c r="Q349" s="82">
        <f t="shared" ca="1" si="49"/>
        <v>24.8</v>
      </c>
    </row>
    <row r="350" spans="9:17">
      <c r="I350" s="45">
        <v>342</v>
      </c>
      <c r="J350" s="45">
        <f t="shared" ca="1" si="43"/>
        <v>248</v>
      </c>
      <c r="K350" s="45">
        <f t="shared" ca="1" si="44"/>
        <v>52</v>
      </c>
      <c r="L350" s="45">
        <f t="shared" ca="1" si="46"/>
        <v>196</v>
      </c>
      <c r="M350" s="45">
        <f t="shared" ca="1" si="45"/>
        <v>0</v>
      </c>
      <c r="N350" s="45">
        <f t="shared" ca="1" si="47"/>
        <v>0</v>
      </c>
      <c r="O350" s="45">
        <f t="shared" ca="1" si="48"/>
        <v>0</v>
      </c>
      <c r="P350" s="82">
        <f t="shared" ca="1" si="42"/>
        <v>19.600000000000001</v>
      </c>
      <c r="Q350" s="82">
        <f t="shared" ca="1" si="49"/>
        <v>19.600000000000001</v>
      </c>
    </row>
    <row r="351" spans="9:17">
      <c r="I351" s="45">
        <v>343</v>
      </c>
      <c r="J351" s="45">
        <f t="shared" ca="1" si="43"/>
        <v>196</v>
      </c>
      <c r="K351" s="45">
        <f t="shared" ca="1" si="44"/>
        <v>55</v>
      </c>
      <c r="L351" s="45">
        <f t="shared" ca="1" si="46"/>
        <v>141</v>
      </c>
      <c r="M351" s="45">
        <f t="shared" ca="1" si="45"/>
        <v>0</v>
      </c>
      <c r="N351" s="45">
        <f t="shared" ca="1" si="47"/>
        <v>0</v>
      </c>
      <c r="O351" s="45">
        <f t="shared" ca="1" si="48"/>
        <v>0</v>
      </c>
      <c r="P351" s="82">
        <f t="shared" ca="1" si="42"/>
        <v>14.100000000000001</v>
      </c>
      <c r="Q351" s="82">
        <f t="shared" ca="1" si="49"/>
        <v>14.100000000000001</v>
      </c>
    </row>
    <row r="352" spans="9:17">
      <c r="I352" s="45">
        <v>344</v>
      </c>
      <c r="J352" s="45">
        <f t="shared" ca="1" si="43"/>
        <v>141</v>
      </c>
      <c r="K352" s="45">
        <f t="shared" ca="1" si="44"/>
        <v>52</v>
      </c>
      <c r="L352" s="45">
        <f t="shared" ca="1" si="46"/>
        <v>89</v>
      </c>
      <c r="M352" s="45">
        <f t="shared" ca="1" si="45"/>
        <v>1</v>
      </c>
      <c r="N352" s="45">
        <f t="shared" ca="1" si="47"/>
        <v>1</v>
      </c>
      <c r="O352" s="45">
        <f t="shared" ca="1" si="48"/>
        <v>400</v>
      </c>
      <c r="P352" s="82">
        <f t="shared" ca="1" si="42"/>
        <v>8.9</v>
      </c>
      <c r="Q352" s="82">
        <f t="shared" ca="1" si="49"/>
        <v>408.9</v>
      </c>
    </row>
    <row r="353" spans="9:17">
      <c r="I353" s="45">
        <v>345</v>
      </c>
      <c r="J353" s="45">
        <f t="shared" ca="1" si="43"/>
        <v>287</v>
      </c>
      <c r="K353" s="45">
        <f t="shared" ca="1" si="44"/>
        <v>52</v>
      </c>
      <c r="L353" s="45">
        <f t="shared" ca="1" si="46"/>
        <v>235</v>
      </c>
      <c r="M353" s="45">
        <f t="shared" ca="1" si="45"/>
        <v>0</v>
      </c>
      <c r="N353" s="45">
        <f t="shared" ca="1" si="47"/>
        <v>0</v>
      </c>
      <c r="O353" s="45">
        <f t="shared" ca="1" si="48"/>
        <v>0</v>
      </c>
      <c r="P353" s="82">
        <f t="shared" ca="1" si="42"/>
        <v>23.5</v>
      </c>
      <c r="Q353" s="82">
        <f t="shared" ca="1" si="49"/>
        <v>23.5</v>
      </c>
    </row>
    <row r="354" spans="9:17">
      <c r="I354" s="45">
        <v>346</v>
      </c>
      <c r="J354" s="45">
        <f t="shared" ca="1" si="43"/>
        <v>235</v>
      </c>
      <c r="K354" s="45">
        <f t="shared" ca="1" si="44"/>
        <v>55</v>
      </c>
      <c r="L354" s="45">
        <f t="shared" ca="1" si="46"/>
        <v>180</v>
      </c>
      <c r="M354" s="45">
        <f t="shared" ca="1" si="45"/>
        <v>0</v>
      </c>
      <c r="N354" s="45">
        <f t="shared" ca="1" si="47"/>
        <v>0</v>
      </c>
      <c r="O354" s="45">
        <f t="shared" ca="1" si="48"/>
        <v>0</v>
      </c>
      <c r="P354" s="82">
        <f t="shared" ca="1" si="42"/>
        <v>18</v>
      </c>
      <c r="Q354" s="82">
        <f t="shared" ca="1" si="49"/>
        <v>18</v>
      </c>
    </row>
    <row r="355" spans="9:17">
      <c r="I355" s="45">
        <v>347</v>
      </c>
      <c r="J355" s="45">
        <f t="shared" ca="1" si="43"/>
        <v>180</v>
      </c>
      <c r="K355" s="45">
        <f t="shared" ca="1" si="44"/>
        <v>53</v>
      </c>
      <c r="L355" s="45">
        <f t="shared" ca="1" si="46"/>
        <v>127</v>
      </c>
      <c r="M355" s="45">
        <f t="shared" ca="1" si="45"/>
        <v>0</v>
      </c>
      <c r="N355" s="45">
        <f t="shared" ca="1" si="47"/>
        <v>0</v>
      </c>
      <c r="O355" s="45">
        <f t="shared" ca="1" si="48"/>
        <v>0</v>
      </c>
      <c r="P355" s="82">
        <f t="shared" ca="1" si="42"/>
        <v>12.700000000000001</v>
      </c>
      <c r="Q355" s="82">
        <f t="shared" ca="1" si="49"/>
        <v>12.700000000000001</v>
      </c>
    </row>
    <row r="356" spans="9:17">
      <c r="I356" s="45">
        <v>348</v>
      </c>
      <c r="J356" s="45">
        <f t="shared" ca="1" si="43"/>
        <v>127</v>
      </c>
      <c r="K356" s="45">
        <f t="shared" ca="1" si="44"/>
        <v>55</v>
      </c>
      <c r="L356" s="45">
        <f t="shared" ca="1" si="46"/>
        <v>72</v>
      </c>
      <c r="M356" s="45">
        <f t="shared" ca="1" si="45"/>
        <v>1</v>
      </c>
      <c r="N356" s="45">
        <f t="shared" ca="1" si="47"/>
        <v>1</v>
      </c>
      <c r="O356" s="45">
        <f t="shared" ca="1" si="48"/>
        <v>400</v>
      </c>
      <c r="P356" s="82">
        <f t="shared" ca="1" si="42"/>
        <v>7.2</v>
      </c>
      <c r="Q356" s="82">
        <f t="shared" ca="1" si="49"/>
        <v>407.2</v>
      </c>
    </row>
    <row r="357" spans="9:17">
      <c r="I357" s="45">
        <v>349</v>
      </c>
      <c r="J357" s="45">
        <f t="shared" ca="1" si="43"/>
        <v>270</v>
      </c>
      <c r="K357" s="45">
        <f t="shared" ca="1" si="44"/>
        <v>55</v>
      </c>
      <c r="L357" s="45">
        <f t="shared" ca="1" si="46"/>
        <v>215</v>
      </c>
      <c r="M357" s="45">
        <f t="shared" ca="1" si="45"/>
        <v>0</v>
      </c>
      <c r="N357" s="45">
        <f t="shared" ca="1" si="47"/>
        <v>0</v>
      </c>
      <c r="O357" s="45">
        <f t="shared" ca="1" si="48"/>
        <v>0</v>
      </c>
      <c r="P357" s="82">
        <f t="shared" ca="1" si="42"/>
        <v>21.5</v>
      </c>
      <c r="Q357" s="82">
        <f t="shared" ca="1" si="49"/>
        <v>21.5</v>
      </c>
    </row>
    <row r="358" spans="9:17">
      <c r="I358" s="45">
        <v>350</v>
      </c>
      <c r="J358" s="45">
        <f t="shared" ca="1" si="43"/>
        <v>215</v>
      </c>
      <c r="K358" s="45">
        <f t="shared" ca="1" si="44"/>
        <v>51</v>
      </c>
      <c r="L358" s="45">
        <f t="shared" ca="1" si="46"/>
        <v>164</v>
      </c>
      <c r="M358" s="45">
        <f t="shared" ca="1" si="45"/>
        <v>0</v>
      </c>
      <c r="N358" s="45">
        <f t="shared" ca="1" si="47"/>
        <v>0</v>
      </c>
      <c r="O358" s="45">
        <f t="shared" ca="1" si="48"/>
        <v>0</v>
      </c>
      <c r="P358" s="82">
        <f t="shared" ca="1" si="42"/>
        <v>16.400000000000002</v>
      </c>
      <c r="Q358" s="82">
        <f t="shared" ca="1" si="49"/>
        <v>16.400000000000002</v>
      </c>
    </row>
    <row r="359" spans="9:17">
      <c r="I359" s="45">
        <v>351</v>
      </c>
      <c r="J359" s="45">
        <f t="shared" ca="1" si="43"/>
        <v>164</v>
      </c>
      <c r="K359" s="45">
        <f t="shared" ca="1" si="44"/>
        <v>52</v>
      </c>
      <c r="L359" s="45">
        <f t="shared" ca="1" si="46"/>
        <v>112</v>
      </c>
      <c r="M359" s="45">
        <f t="shared" ca="1" si="45"/>
        <v>0</v>
      </c>
      <c r="N359" s="45">
        <f t="shared" ca="1" si="47"/>
        <v>0</v>
      </c>
      <c r="O359" s="45">
        <f t="shared" ca="1" si="48"/>
        <v>0</v>
      </c>
      <c r="P359" s="82">
        <f t="shared" ca="1" si="42"/>
        <v>11.200000000000001</v>
      </c>
      <c r="Q359" s="82">
        <f t="shared" ca="1" si="49"/>
        <v>11.200000000000001</v>
      </c>
    </row>
    <row r="360" spans="9:17">
      <c r="I360" s="45">
        <v>352</v>
      </c>
      <c r="J360" s="45">
        <f t="shared" ca="1" si="43"/>
        <v>112</v>
      </c>
      <c r="K360" s="45">
        <f t="shared" ca="1" si="44"/>
        <v>53</v>
      </c>
      <c r="L360" s="45">
        <f t="shared" ca="1" si="46"/>
        <v>59</v>
      </c>
      <c r="M360" s="45">
        <f t="shared" ca="1" si="45"/>
        <v>1</v>
      </c>
      <c r="N360" s="45">
        <f t="shared" ca="1" si="47"/>
        <v>2</v>
      </c>
      <c r="O360" s="45">
        <f t="shared" ca="1" si="48"/>
        <v>400</v>
      </c>
      <c r="P360" s="82">
        <f t="shared" ca="1" si="42"/>
        <v>5.9</v>
      </c>
      <c r="Q360" s="82">
        <f t="shared" ca="1" si="49"/>
        <v>405.9</v>
      </c>
    </row>
    <row r="361" spans="9:17">
      <c r="I361" s="45">
        <v>353</v>
      </c>
      <c r="J361" s="45">
        <f t="shared" ca="1" si="43"/>
        <v>59</v>
      </c>
      <c r="K361" s="45">
        <f t="shared" ca="1" si="44"/>
        <v>55</v>
      </c>
      <c r="L361" s="45">
        <f t="shared" ca="1" si="46"/>
        <v>4</v>
      </c>
      <c r="M361" s="45">
        <f t="shared" ca="1" si="45"/>
        <v>0</v>
      </c>
      <c r="N361" s="45">
        <f t="shared" ca="1" si="47"/>
        <v>0</v>
      </c>
      <c r="O361" s="45">
        <f t="shared" ca="1" si="48"/>
        <v>0</v>
      </c>
      <c r="P361" s="82">
        <f t="shared" ca="1" si="42"/>
        <v>0.4</v>
      </c>
      <c r="Q361" s="82">
        <f t="shared" ca="1" si="49"/>
        <v>0.4</v>
      </c>
    </row>
    <row r="362" spans="9:17">
      <c r="I362" s="45">
        <v>354</v>
      </c>
      <c r="J362" s="45">
        <f t="shared" ca="1" si="43"/>
        <v>202</v>
      </c>
      <c r="K362" s="45">
        <f t="shared" ca="1" si="44"/>
        <v>52</v>
      </c>
      <c r="L362" s="45">
        <f t="shared" ca="1" si="46"/>
        <v>150</v>
      </c>
      <c r="M362" s="45">
        <f t="shared" ca="1" si="45"/>
        <v>0</v>
      </c>
      <c r="N362" s="45">
        <f t="shared" ca="1" si="47"/>
        <v>0</v>
      </c>
      <c r="O362" s="45">
        <f t="shared" ca="1" si="48"/>
        <v>0</v>
      </c>
      <c r="P362" s="82">
        <f t="shared" ca="1" si="42"/>
        <v>15</v>
      </c>
      <c r="Q362" s="82">
        <f t="shared" ca="1" si="49"/>
        <v>15</v>
      </c>
    </row>
    <row r="363" spans="9:17">
      <c r="I363" s="45">
        <v>355</v>
      </c>
      <c r="J363" s="45">
        <f t="shared" ca="1" si="43"/>
        <v>150</v>
      </c>
      <c r="K363" s="45">
        <f t="shared" ca="1" si="44"/>
        <v>54</v>
      </c>
      <c r="L363" s="45">
        <f t="shared" ca="1" si="46"/>
        <v>96</v>
      </c>
      <c r="M363" s="45">
        <f t="shared" ca="1" si="45"/>
        <v>1</v>
      </c>
      <c r="N363" s="45">
        <f t="shared" ca="1" si="47"/>
        <v>2</v>
      </c>
      <c r="O363" s="45">
        <f t="shared" ca="1" si="48"/>
        <v>400</v>
      </c>
      <c r="P363" s="82">
        <f t="shared" ca="1" si="42"/>
        <v>9.6000000000000014</v>
      </c>
      <c r="Q363" s="82">
        <f t="shared" ca="1" si="49"/>
        <v>409.6</v>
      </c>
    </row>
    <row r="364" spans="9:17">
      <c r="I364" s="45">
        <v>356</v>
      </c>
      <c r="J364" s="45">
        <f t="shared" ca="1" si="43"/>
        <v>96</v>
      </c>
      <c r="K364" s="45">
        <f t="shared" ca="1" si="44"/>
        <v>52</v>
      </c>
      <c r="L364" s="45">
        <f t="shared" ca="1" si="46"/>
        <v>44</v>
      </c>
      <c r="M364" s="45">
        <f t="shared" ca="1" si="45"/>
        <v>0</v>
      </c>
      <c r="N364" s="45">
        <f t="shared" ca="1" si="47"/>
        <v>0</v>
      </c>
      <c r="O364" s="45">
        <f t="shared" ca="1" si="48"/>
        <v>0</v>
      </c>
      <c r="P364" s="82">
        <f t="shared" ca="1" si="42"/>
        <v>4.4000000000000004</v>
      </c>
      <c r="Q364" s="82">
        <f t="shared" ca="1" si="49"/>
        <v>4.4000000000000004</v>
      </c>
    </row>
    <row r="365" spans="9:17">
      <c r="I365" s="45">
        <v>357</v>
      </c>
      <c r="J365" s="45">
        <f t="shared" ca="1" si="43"/>
        <v>242</v>
      </c>
      <c r="K365" s="45">
        <f t="shared" ca="1" si="44"/>
        <v>53</v>
      </c>
      <c r="L365" s="45">
        <f t="shared" ca="1" si="46"/>
        <v>189</v>
      </c>
      <c r="M365" s="45">
        <f t="shared" ca="1" si="45"/>
        <v>0</v>
      </c>
      <c r="N365" s="45">
        <f t="shared" ca="1" si="47"/>
        <v>0</v>
      </c>
      <c r="O365" s="45">
        <f t="shared" ca="1" si="48"/>
        <v>0</v>
      </c>
      <c r="P365" s="82">
        <f t="shared" ca="1" si="42"/>
        <v>18.900000000000002</v>
      </c>
      <c r="Q365" s="82">
        <f t="shared" ca="1" si="49"/>
        <v>18.900000000000002</v>
      </c>
    </row>
    <row r="366" spans="9:17">
      <c r="I366" s="45">
        <v>358</v>
      </c>
      <c r="J366" s="45">
        <f t="shared" ca="1" si="43"/>
        <v>189</v>
      </c>
      <c r="K366" s="45">
        <f t="shared" ca="1" si="44"/>
        <v>53</v>
      </c>
      <c r="L366" s="45">
        <f t="shared" ca="1" si="46"/>
        <v>136</v>
      </c>
      <c r="M366" s="45">
        <f t="shared" ca="1" si="45"/>
        <v>0</v>
      </c>
      <c r="N366" s="45">
        <f t="shared" ca="1" si="47"/>
        <v>0</v>
      </c>
      <c r="O366" s="45">
        <f t="shared" ca="1" si="48"/>
        <v>0</v>
      </c>
      <c r="P366" s="82">
        <f t="shared" ca="1" si="42"/>
        <v>13.600000000000001</v>
      </c>
      <c r="Q366" s="82">
        <f t="shared" ca="1" si="49"/>
        <v>13.600000000000001</v>
      </c>
    </row>
    <row r="367" spans="9:17">
      <c r="I367" s="45">
        <v>359</v>
      </c>
      <c r="J367" s="45">
        <f t="shared" ca="1" si="43"/>
        <v>136</v>
      </c>
      <c r="K367" s="45">
        <f t="shared" ca="1" si="44"/>
        <v>55</v>
      </c>
      <c r="L367" s="45">
        <f t="shared" ca="1" si="46"/>
        <v>81</v>
      </c>
      <c r="M367" s="45">
        <f t="shared" ca="1" si="45"/>
        <v>1</v>
      </c>
      <c r="N367" s="45">
        <f t="shared" ca="1" si="47"/>
        <v>1</v>
      </c>
      <c r="O367" s="45">
        <f t="shared" ca="1" si="48"/>
        <v>400</v>
      </c>
      <c r="P367" s="82">
        <f t="shared" ca="1" si="42"/>
        <v>8.1</v>
      </c>
      <c r="Q367" s="82">
        <f t="shared" ca="1" si="49"/>
        <v>408.1</v>
      </c>
    </row>
    <row r="368" spans="9:17">
      <c r="I368" s="45">
        <v>360</v>
      </c>
      <c r="J368" s="45">
        <f t="shared" ca="1" si="43"/>
        <v>279</v>
      </c>
      <c r="K368" s="45">
        <f t="shared" ca="1" si="44"/>
        <v>51</v>
      </c>
      <c r="L368" s="45">
        <f t="shared" ca="1" si="46"/>
        <v>228</v>
      </c>
      <c r="M368" s="45">
        <f t="shared" ca="1" si="45"/>
        <v>0</v>
      </c>
      <c r="N368" s="45">
        <f t="shared" ca="1" si="47"/>
        <v>0</v>
      </c>
      <c r="O368" s="45">
        <f t="shared" ca="1" si="48"/>
        <v>0</v>
      </c>
      <c r="P368" s="82">
        <f t="shared" ca="1" si="42"/>
        <v>22.8</v>
      </c>
      <c r="Q368" s="82">
        <f t="shared" ca="1" si="49"/>
        <v>22.8</v>
      </c>
    </row>
    <row r="369" spans="9:17">
      <c r="I369" s="45">
        <v>361</v>
      </c>
      <c r="J369" s="45">
        <f t="shared" ca="1" si="43"/>
        <v>228</v>
      </c>
      <c r="K369" s="45">
        <f t="shared" ca="1" si="44"/>
        <v>52</v>
      </c>
      <c r="L369" s="45">
        <f t="shared" ca="1" si="46"/>
        <v>176</v>
      </c>
      <c r="M369" s="45">
        <f t="shared" ca="1" si="45"/>
        <v>0</v>
      </c>
      <c r="N369" s="45">
        <f t="shared" ca="1" si="47"/>
        <v>0</v>
      </c>
      <c r="O369" s="45">
        <f t="shared" ca="1" si="48"/>
        <v>0</v>
      </c>
      <c r="P369" s="82">
        <f t="shared" ca="1" si="42"/>
        <v>17.600000000000001</v>
      </c>
      <c r="Q369" s="82">
        <f t="shared" ca="1" si="49"/>
        <v>17.600000000000001</v>
      </c>
    </row>
    <row r="370" spans="9:17">
      <c r="I370" s="45">
        <v>362</v>
      </c>
      <c r="J370" s="45">
        <f t="shared" ca="1" si="43"/>
        <v>176</v>
      </c>
      <c r="K370" s="45">
        <f t="shared" ca="1" si="44"/>
        <v>55</v>
      </c>
      <c r="L370" s="45">
        <f t="shared" ca="1" si="46"/>
        <v>121</v>
      </c>
      <c r="M370" s="45">
        <f t="shared" ca="1" si="45"/>
        <v>0</v>
      </c>
      <c r="N370" s="45">
        <f t="shared" ca="1" si="47"/>
        <v>0</v>
      </c>
      <c r="O370" s="45">
        <f t="shared" ca="1" si="48"/>
        <v>0</v>
      </c>
      <c r="P370" s="82">
        <f t="shared" ca="1" si="42"/>
        <v>12.100000000000001</v>
      </c>
      <c r="Q370" s="82">
        <f t="shared" ca="1" si="49"/>
        <v>12.100000000000001</v>
      </c>
    </row>
    <row r="371" spans="9:17">
      <c r="I371" s="45">
        <v>363</v>
      </c>
      <c r="J371" s="45">
        <f t="shared" ca="1" si="43"/>
        <v>121</v>
      </c>
      <c r="K371" s="45">
        <f t="shared" ca="1" si="44"/>
        <v>55</v>
      </c>
      <c r="L371" s="45">
        <f t="shared" ca="1" si="46"/>
        <v>66</v>
      </c>
      <c r="M371" s="45">
        <f t="shared" ca="1" si="45"/>
        <v>1</v>
      </c>
      <c r="N371" s="45">
        <f t="shared" ca="1" si="47"/>
        <v>1</v>
      </c>
      <c r="O371" s="45">
        <f t="shared" ca="1" si="48"/>
        <v>400</v>
      </c>
      <c r="P371" s="82">
        <f t="shared" ca="1" si="42"/>
        <v>6.6000000000000005</v>
      </c>
      <c r="Q371" s="82">
        <f t="shared" ca="1" si="49"/>
        <v>406.6</v>
      </c>
    </row>
    <row r="372" spans="9:17">
      <c r="I372" s="45">
        <v>364</v>
      </c>
      <c r="J372" s="45">
        <f t="shared" ca="1" si="43"/>
        <v>264</v>
      </c>
      <c r="K372" s="45">
        <f t="shared" ca="1" si="44"/>
        <v>53</v>
      </c>
      <c r="L372" s="45">
        <f t="shared" ca="1" si="46"/>
        <v>211</v>
      </c>
      <c r="M372" s="45">
        <f t="shared" ca="1" si="45"/>
        <v>0</v>
      </c>
      <c r="N372" s="45">
        <f t="shared" ca="1" si="47"/>
        <v>0</v>
      </c>
      <c r="O372" s="45">
        <f t="shared" ca="1" si="48"/>
        <v>0</v>
      </c>
      <c r="P372" s="82">
        <f t="shared" ca="1" si="42"/>
        <v>21.1</v>
      </c>
      <c r="Q372" s="82">
        <f t="shared" ca="1" si="49"/>
        <v>21.1</v>
      </c>
    </row>
    <row r="373" spans="9:17">
      <c r="I373" s="45">
        <v>365</v>
      </c>
      <c r="J373" s="45">
        <f t="shared" ca="1" si="43"/>
        <v>211</v>
      </c>
      <c r="K373" s="45">
        <f t="shared" ca="1" si="44"/>
        <v>54</v>
      </c>
      <c r="L373" s="45">
        <f t="shared" ca="1" si="46"/>
        <v>157</v>
      </c>
      <c r="M373" s="45">
        <f t="shared" ca="1" si="45"/>
        <v>0</v>
      </c>
      <c r="N373" s="45">
        <f t="shared" ca="1" si="47"/>
        <v>0</v>
      </c>
      <c r="O373" s="45">
        <f t="shared" ca="1" si="48"/>
        <v>0</v>
      </c>
      <c r="P373" s="82">
        <f t="shared" ca="1" si="42"/>
        <v>15.700000000000001</v>
      </c>
      <c r="Q373" s="82">
        <f t="shared" ca="1" si="49"/>
        <v>15.700000000000001</v>
      </c>
    </row>
  </sheetData>
  <phoneticPr fontId="3" type="noConversion"/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第1题</vt:lpstr>
      <vt:lpstr>第2题</vt:lpstr>
      <vt:lpstr>第3题</vt:lpstr>
      <vt:lpstr>第4题</vt:lpstr>
      <vt:lpstr>第5题</vt:lpstr>
      <vt:lpstr>第6题</vt:lpstr>
      <vt:lpstr>第7题</vt:lpstr>
      <vt:lpstr>第8题</vt:lpstr>
    </vt:vector>
  </TitlesOfParts>
  <Company>上海财经大学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CaoFeng</dc:creator>
  <cp:lastModifiedBy>C02</cp:lastModifiedBy>
  <cp:lastPrinted>2019-06-08T02:15:47Z</cp:lastPrinted>
  <dcterms:created xsi:type="dcterms:W3CDTF">2010-12-28T07:11:34Z</dcterms:created>
  <dcterms:modified xsi:type="dcterms:W3CDTF">2019-12-17T02:03:19Z</dcterms:modified>
</cp:coreProperties>
</file>