
<file path=[Content_Types].xml><?xml version="1.0" encoding="utf-8"?>
<Types xmlns="http://schemas.openxmlformats.org/package/2006/content-types">
  <Default Extension="png" ContentType="image/png"/>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trlProps/ctrlProp1.xml" ContentType="application/vnd.ms-excel.controlproperties+xml"/>
  <Override PartName="/xl/charts/chart2.xml" ContentType="application/vnd.openxmlformats-officedocument.drawingml.chart+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harts/chart3.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4955" windowHeight="7320" firstSheet="2" activeTab="2"/>
  </bookViews>
  <sheets>
    <sheet name="第1题答案" sheetId="5" r:id="rId1"/>
    <sheet name="第2题答案" sheetId="6" r:id="rId2"/>
    <sheet name="第3题答案" sheetId="7" r:id="rId3"/>
    <sheet name="第4题答案" sheetId="4" r:id="rId4"/>
    <sheet name="第5题答案" sheetId="8" r:id="rId5"/>
    <sheet name="第6题答案1" sheetId="1" r:id="rId6"/>
    <sheet name="第6题答案2" sheetId="2" r:id="rId7"/>
    <sheet name="第7题答案" sheetId="9" r:id="rId8"/>
    <sheet name="第8题答案" sheetId="3"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____jin01">#REF!</definedName>
    <definedName name="_____sj1">[1]第1套!$A$1:$C$73</definedName>
    <definedName name="_____sj2">[2]第2题解答!$A$1:$D$251</definedName>
    <definedName name="____jin01">#REF!</definedName>
    <definedName name="____sj1">[1]第1套!$A$1:$C$73</definedName>
    <definedName name="____sj2">[2]第2题解答!$A$1:$D$251</definedName>
    <definedName name="____sj3">[3]第2题!$A$1:$D$198</definedName>
    <definedName name="____sj5">[4]第1套!$A$1:$C$73</definedName>
    <definedName name="___jin01">#REF!</definedName>
    <definedName name="___sj1">[1]第1套!$A$1:$C$73</definedName>
    <definedName name="___sj2">[2]第2题解答!$A$1:$D$251</definedName>
    <definedName name="___sj3">[3]第2题!$A$1:$D$198</definedName>
    <definedName name="___sj5">[4]第1套!$A$1:$C$73</definedName>
    <definedName name="__jin01" localSheetId="2">#REF!</definedName>
    <definedName name="__jin01">#REF!</definedName>
    <definedName name="__sj1" localSheetId="2">[5]第1套!$A$1:$C$73</definedName>
    <definedName name="__sj1">[1]第1套!$A$1:$C$73</definedName>
    <definedName name="__sj2" localSheetId="2">[5]第2套!$A$1:$D$251</definedName>
    <definedName name="__sj2">[2]第2题解答!$A$1:$D$251</definedName>
    <definedName name="__sj3">[3]第2题!$A$1:$D$198</definedName>
    <definedName name="__sj5">[4]第1套!$A$1:$C$73</definedName>
    <definedName name="_1a1_">#REF!</definedName>
    <definedName name="_2a2_">#REF!</definedName>
    <definedName name="_jin01" localSheetId="2">#REF!</definedName>
    <definedName name="_jin01">#REF!</definedName>
    <definedName name="_sj1" localSheetId="3">[6]第1套!$A$1:$C$73</definedName>
    <definedName name="_sj1">[5]第1套!$A$1:$C$73</definedName>
    <definedName name="_sj2" localSheetId="3">#REF!</definedName>
    <definedName name="_sj2">[5]第2套!$A$1:$D$251</definedName>
    <definedName name="_sj3" localSheetId="3">[7]第2题!$A$1:$D$198</definedName>
    <definedName name="_sj3">[3]第2题!$A$1:$D$198</definedName>
    <definedName name="_sj5">[4]第1套!$A$1:$C$73</definedName>
    <definedName name="aaa" localSheetId="2">OFFSET([8]第4题!XFC1,0,-1,3,1)</definedName>
    <definedName name="aaa">OFFSET([8]第4题!#REF!,0,-1,3,1)</definedName>
    <definedName name="ahzixingche" localSheetId="2">#REF!</definedName>
    <definedName name="ahzixingche">#REF!</definedName>
    <definedName name="Average">'[9]Simulation (2)'!$K$3:$N$3</definedName>
    <definedName name="Biao1" localSheetId="2">#REF!</definedName>
    <definedName name="Biao1">#REF!</definedName>
    <definedName name="Biao2" localSheetId="2">#REF!</definedName>
    <definedName name="Biao2">#REF!</definedName>
    <definedName name="Biao3" localSheetId="2">#REF!</definedName>
    <definedName name="Biao3">#REF!</definedName>
    <definedName name="Biao4" localSheetId="2">#REF!</definedName>
    <definedName name="Biao4">#REF!</definedName>
    <definedName name="BudgetTab" localSheetId="2">#REF!</definedName>
    <definedName name="BudgetTab" localSheetId="3">#REF!</definedName>
    <definedName name="BudgetTab">#REF!</definedName>
    <definedName name="dd" localSheetId="3">#REF!</definedName>
    <definedName name="dd">#REF!</definedName>
    <definedName name="kk" localSheetId="3">#REF!</definedName>
    <definedName name="kk">#REF!</definedName>
    <definedName name="MaintTable" localSheetId="2">[10]第3题!#REF!</definedName>
    <definedName name="MaintTable" localSheetId="3">[10]第3题!#REF!</definedName>
    <definedName name="MaintTable">[11]第3题!#REF!</definedName>
    <definedName name="OrderQuantity">'[9]Simulation (2)'!$D$3</definedName>
    <definedName name="sj" localSheetId="2">#REF!</definedName>
    <definedName name="sj" localSheetId="3">#REF!</definedName>
    <definedName name="sj">[12]第7题解答!$A$1:$E$65536</definedName>
    <definedName name="solver_adj" localSheetId="5" hidden="1">第6题答案1!$C$6:$E$7</definedName>
    <definedName name="solver_adj" localSheetId="6" hidden="1">第6题答案2!$C$6:$E$7</definedName>
    <definedName name="solver_adj" localSheetId="7" hidden="1">第7题答案!$D$12:$G$12,第7题答案!$D$13:$E$13</definedName>
    <definedName name="solver_cvg" localSheetId="5" hidden="1">0.0001</definedName>
    <definedName name="solver_cvg" localSheetId="6" hidden="1">0.0001</definedName>
    <definedName name="solver_cvg" localSheetId="7" hidden="1">0.0001</definedName>
    <definedName name="solver_drv" localSheetId="5" hidden="1">1</definedName>
    <definedName name="solver_drv" localSheetId="6" hidden="1">1</definedName>
    <definedName name="solver_drv" localSheetId="7" hidden="1">1</definedName>
    <definedName name="solver_eng" localSheetId="7" hidden="1">1</definedName>
    <definedName name="solver_est" localSheetId="5" hidden="1">1</definedName>
    <definedName name="solver_est" localSheetId="6" hidden="1">1</definedName>
    <definedName name="solver_est" localSheetId="7" hidden="1">1</definedName>
    <definedName name="solver_itr" localSheetId="5" hidden="1">100</definedName>
    <definedName name="solver_itr" localSheetId="6" hidden="1">100</definedName>
    <definedName name="solver_itr" localSheetId="7" hidden="1">100</definedName>
    <definedName name="solver_lhs1" localSheetId="5" hidden="1">第6题答案1!$C$6:$E$7</definedName>
    <definedName name="solver_lhs1" localSheetId="6" hidden="1">第6题答案2!$C$6:$E$7</definedName>
    <definedName name="solver_lhs1" localSheetId="7" hidden="1">第7题答案!$D$13:$E$13</definedName>
    <definedName name="solver_lhs2" localSheetId="5" hidden="1">第6题答案1!$C$6:$E$7</definedName>
    <definedName name="solver_lhs2" localSheetId="6" hidden="1">第6题答案2!$C$6:$E$7</definedName>
    <definedName name="solver_lhs2" localSheetId="7" hidden="1">第7题答案!$D$12:$G$12</definedName>
    <definedName name="solver_lhs3" localSheetId="5" hidden="1">第6题答案1!$F$6:$F$7</definedName>
    <definedName name="solver_lhs3" localSheetId="6" hidden="1">第6题答案2!$F$6:$F$7</definedName>
    <definedName name="solver_lhs3" localSheetId="7" hidden="1">第7题答案!$D$14:$G$14</definedName>
    <definedName name="solver_lhs4" localSheetId="5" hidden="1">第6题答案1!$C$6:$E$7</definedName>
    <definedName name="solver_lhs4" localSheetId="6" hidden="1">第6题答案2!$C$6:$E$7</definedName>
    <definedName name="solver_lhs4" localSheetId="7" hidden="1">第7题答案!$D$13:$E$13</definedName>
    <definedName name="solver_lhs5" localSheetId="7" hidden="1">第7题答案!$D$14:$G$14</definedName>
    <definedName name="solver_lin" localSheetId="5" hidden="1">2</definedName>
    <definedName name="solver_lin" localSheetId="6" hidden="1">2</definedName>
    <definedName name="solver_lin" localSheetId="7" hidden="1">2</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5" hidden="1">2</definedName>
    <definedName name="solver_neg" localSheetId="6" hidden="1">2</definedName>
    <definedName name="solver_neg" localSheetId="7" hidden="1">1</definedName>
    <definedName name="solver_nod" localSheetId="7" hidden="1">2147483647</definedName>
    <definedName name="solver_num" localSheetId="5" hidden="1">4</definedName>
    <definedName name="solver_num" localSheetId="6" hidden="1">4</definedName>
    <definedName name="solver_num" localSheetId="7" hidden="1">3</definedName>
    <definedName name="solver_nwt" localSheetId="5" hidden="1">1</definedName>
    <definedName name="solver_nwt" localSheetId="6" hidden="1">1</definedName>
    <definedName name="solver_nwt" localSheetId="7" hidden="1">1</definedName>
    <definedName name="solver_opt" localSheetId="5" hidden="1">第6题答案1!$C$13</definedName>
    <definedName name="solver_opt" localSheetId="6" hidden="1">第6题答案2!$C$13</definedName>
    <definedName name="solver_opt" localSheetId="7" hidden="1">第7题答案!$H$14</definedName>
    <definedName name="solver_pre" localSheetId="5" hidden="1">0.000001</definedName>
    <definedName name="solver_pre" localSheetId="6" hidden="1">0.000001</definedName>
    <definedName name="solver_pre" localSheetId="7" hidden="1">0.000001</definedName>
    <definedName name="solver_rbv" localSheetId="7" hidden="1">1</definedName>
    <definedName name="solver_rel1" localSheetId="5" hidden="1">3</definedName>
    <definedName name="solver_rel1" localSheetId="6" hidden="1">3</definedName>
    <definedName name="solver_rel1" localSheetId="7" hidden="1">3</definedName>
    <definedName name="solver_rel2" localSheetId="5" hidden="1">4</definedName>
    <definedName name="solver_rel2" localSheetId="6" hidden="1">4</definedName>
    <definedName name="solver_rel2" localSheetId="7" hidden="1">3</definedName>
    <definedName name="solver_rel3" localSheetId="5" hidden="1">2</definedName>
    <definedName name="solver_rel3" localSheetId="6" hidden="1">2</definedName>
    <definedName name="solver_rel3" localSheetId="7" hidden="1">3</definedName>
    <definedName name="solver_rel4" localSheetId="5" hidden="1">1</definedName>
    <definedName name="solver_rel4" localSheetId="6" hidden="1">1</definedName>
    <definedName name="solver_rel4" localSheetId="7" hidden="1">3</definedName>
    <definedName name="solver_rel5" localSheetId="7" hidden="1">3</definedName>
    <definedName name="solver_rhs1" localSheetId="5" hidden="1">0</definedName>
    <definedName name="solver_rhs1" localSheetId="6" hidden="1">0</definedName>
    <definedName name="solver_rhs1" localSheetId="7" hidden="1">0</definedName>
    <definedName name="solver_rhs2" localSheetId="5" hidden="1">整数</definedName>
    <definedName name="solver_rhs2" localSheetId="6" hidden="1">整数</definedName>
    <definedName name="solver_rhs2" localSheetId="7" hidden="1">0</definedName>
    <definedName name="solver_rhs3" localSheetId="5" hidden="1">第6题答案1!$G$6:$G$7</definedName>
    <definedName name="solver_rhs3" localSheetId="6" hidden="1">第6题答案2!$G$6:$G$7</definedName>
    <definedName name="solver_rhs3" localSheetId="7" hidden="1">0</definedName>
    <definedName name="solver_rhs4" localSheetId="5" hidden="1">第6题答案1!$C$2:$E$3</definedName>
    <definedName name="solver_rhs4" localSheetId="6" hidden="1">第6题答案2!$C$2:$E$3</definedName>
    <definedName name="solver_rhs4" localSheetId="7" hidden="1">0</definedName>
    <definedName name="solver_rhs5" localSheetId="7" hidden="1">0</definedName>
    <definedName name="solver_rlx" localSheetId="7" hidden="1">2</definedName>
    <definedName name="solver_rsd" localSheetId="7" hidden="1">0</definedName>
    <definedName name="solver_scl" localSheetId="5" hidden="1">2</definedName>
    <definedName name="solver_scl" localSheetId="6" hidden="1">2</definedName>
    <definedName name="solver_scl" localSheetId="7" hidden="1">2</definedName>
    <definedName name="solver_sho" localSheetId="5" hidden="1">2</definedName>
    <definedName name="solver_sho" localSheetId="6" hidden="1">2</definedName>
    <definedName name="solver_sho" localSheetId="7" hidden="1">2</definedName>
    <definedName name="solver_ssz" localSheetId="7" hidden="1">100</definedName>
    <definedName name="solver_tim" localSheetId="5" hidden="1">100</definedName>
    <definedName name="solver_tim" localSheetId="6" hidden="1">100</definedName>
    <definedName name="solver_tim" localSheetId="7" hidden="1">100</definedName>
    <definedName name="solver_tol" localSheetId="5" hidden="1">0.05</definedName>
    <definedName name="solver_tol" localSheetId="6" hidden="1">0.05</definedName>
    <definedName name="solver_tol" localSheetId="7" hidden="1">0.05</definedName>
    <definedName name="solver_typ" localSheetId="5" hidden="1">2</definedName>
    <definedName name="solver_typ" localSheetId="6" hidden="1">2</definedName>
    <definedName name="solver_typ" localSheetId="7" hidden="1">1</definedName>
    <definedName name="solver_val" localSheetId="5" hidden="1">0</definedName>
    <definedName name="solver_val" localSheetId="6" hidden="1">0</definedName>
    <definedName name="solver_val" localSheetId="7" hidden="1">0</definedName>
    <definedName name="solver_ver" localSheetId="7" hidden="1">3</definedName>
    <definedName name="Table" localSheetId="2">'[13]经济订货量-折扣模型'!$K$3:$L$21</definedName>
    <definedName name="Table" localSheetId="3">'[13]经济订货量-折扣模型'!$K$3:$L$21</definedName>
    <definedName name="Table">[12]第8题解答!$K$3:$L$21</definedName>
    <definedName name="yssj">[14]D函数2!$A$1:$D$671</definedName>
    <definedName name="查询数据" localSheetId="2">[15]第2题!#REF!</definedName>
    <definedName name="查询数据">[15]第2题!#REF!</definedName>
    <definedName name="陈元忠">[16]第1题!$D$3:$D$11</definedName>
    <definedName name="第1季度不规则值">[17]季节指数计算模型!$E$2,[17]季节指数计算模型!$E$7,[17]季节指数计算模型!$E$12,[17]季节指数计算模型!$E$17</definedName>
    <definedName name="第2季度不规则值">[17]季节指数计算模型!$E$3,[17]季节指数计算模型!$E$8,[17]季节指数计算模型!$E$13,[17]季节指数计算模型!$E$18</definedName>
    <definedName name="第3季度不规则值">[17]季节指数计算模型!$E$5,[17]季节指数计算模型!$E$10,[17]季节指数计算模型!$E$15</definedName>
    <definedName name="第4季度不规则值">[17]季节指数计算模型!$E$6,[17]季节指数计算模型!$E$11,[17]季节指数计算模型!$E$16,[17]季节指数计算模型!$E$21</definedName>
    <definedName name="基行" localSheetId="2">#REF!</definedName>
    <definedName name="基行" localSheetId="3">#REF!</definedName>
    <definedName name="基行">#REF!</definedName>
    <definedName name="蒋传海">[16]第1题!$C$3:$C$11</definedName>
    <definedName name="原始数据" localSheetId="2">#REF!</definedName>
    <definedName name="原始数据">#REF!</definedName>
    <definedName name="张雪凤">[16]第1题!$F$3:$F$11</definedName>
    <definedName name="周新燕">[16]第1题!$E$3:$E$11</definedName>
  </definedNames>
  <calcPr calcId="145621"/>
</workbook>
</file>

<file path=xl/calcChain.xml><?xml version="1.0" encoding="utf-8"?>
<calcChain xmlns="http://schemas.openxmlformats.org/spreadsheetml/2006/main">
  <c r="D14" i="9" l="1"/>
  <c r="E8" i="9" s="1"/>
  <c r="E14" i="9" s="1"/>
  <c r="F8" i="9" s="1"/>
  <c r="F14" i="9" s="1"/>
  <c r="G8" i="9" s="1"/>
  <c r="G14" i="9" s="1"/>
  <c r="H8" i="9" s="1"/>
  <c r="H14" i="9" s="1"/>
  <c r="B10" i="9"/>
  <c r="H9" i="9"/>
  <c r="G9" i="9"/>
  <c r="F9" i="9"/>
  <c r="E9" i="9"/>
  <c r="B9" i="9"/>
  <c r="B8" i="9" a="1"/>
  <c r="B8" i="9" s="1"/>
  <c r="A8" i="9"/>
  <c r="B7" i="9"/>
  <c r="B7" i="9" a="1"/>
  <c r="A7" i="9"/>
  <c r="B6" i="9" a="1"/>
  <c r="B6" i="9" s="1"/>
  <c r="A6" i="9" a="1"/>
  <c r="A6" i="9" s="1"/>
  <c r="B5" i="9" a="1"/>
  <c r="B5" i="9" s="1"/>
  <c r="A5" i="9" a="1"/>
  <c r="A5" i="9" s="1"/>
  <c r="B4" i="9" a="1"/>
  <c r="B4" i="9" s="1"/>
  <c r="A4" i="9" a="1"/>
  <c r="A4" i="9" s="1"/>
  <c r="B3" i="9"/>
  <c r="A3" i="9"/>
  <c r="B2" i="9" l="1"/>
  <c r="A2" i="9"/>
  <c r="D30" i="8" l="1"/>
  <c r="C30" i="8"/>
  <c r="C29" i="8"/>
  <c r="C28" i="8"/>
  <c r="C27" i="8"/>
  <c r="C26" i="8"/>
  <c r="C25" i="8"/>
  <c r="C24" i="8"/>
  <c r="C23" i="8"/>
  <c r="C22" i="8"/>
  <c r="C21" i="8"/>
  <c r="D20" i="8"/>
  <c r="D31" i="8" s="1"/>
  <c r="C20" i="8"/>
  <c r="C16" i="8"/>
  <c r="B16" i="8"/>
  <c r="C14" i="8"/>
  <c r="B14" i="8"/>
  <c r="D9" i="8"/>
  <c r="C9" i="8"/>
  <c r="D8" i="8"/>
  <c r="H19" i="8" s="1"/>
  <c r="C8" i="8"/>
  <c r="B15" i="8" l="1"/>
  <c r="C11" i="8" s="1"/>
  <c r="C31" i="8"/>
  <c r="C10" i="8"/>
  <c r="G19" i="8"/>
  <c r="I19" i="8" s="1"/>
  <c r="L25" i="7" l="1"/>
  <c r="L24" i="7" s="1"/>
  <c r="L23" i="7"/>
  <c r="C23" i="7"/>
  <c r="L22" i="7"/>
  <c r="L21" i="7"/>
  <c r="L20" i="7" s="1"/>
  <c r="L19" i="7"/>
  <c r="L18" i="7"/>
  <c r="D18" i="7"/>
  <c r="D15" i="7"/>
  <c r="D16" i="7" s="1"/>
  <c r="D17" i="7" s="1"/>
  <c r="D11" i="7"/>
  <c r="D10" i="7"/>
  <c r="D8" i="7"/>
  <c r="D12" i="7" s="1"/>
  <c r="O4" i="7"/>
  <c r="O8" i="7" l="1"/>
  <c r="D13" i="7"/>
  <c r="P4" i="7" s="1"/>
  <c r="D19" i="7"/>
  <c r="C22" i="7" l="1"/>
  <c r="P7" i="7"/>
  <c r="M3" i="7"/>
  <c r="D12" i="6" l="1"/>
  <c r="D13" i="6" s="1"/>
  <c r="M3" i="6" s="1"/>
  <c r="D10" i="6"/>
  <c r="I3" i="6" s="1"/>
  <c r="D6" i="6"/>
  <c r="H3" i="6" s="1"/>
  <c r="I2" i="6"/>
  <c r="H2" i="6"/>
  <c r="L3" i="6" l="1"/>
  <c r="K22" i="5"/>
  <c r="J22" i="5"/>
  <c r="I22" i="5"/>
  <c r="D15" i="5"/>
  <c r="D16" i="5" s="1"/>
  <c r="D11" i="5"/>
  <c r="D10" i="5"/>
  <c r="I23" i="5" s="1"/>
  <c r="D8" i="5"/>
  <c r="D9" i="5" s="1"/>
  <c r="D12" i="5" l="1"/>
  <c r="D13" i="5" s="1"/>
  <c r="K23" i="5" s="1"/>
  <c r="J23" i="5"/>
  <c r="B12" i="4" l="1"/>
  <c r="B10" i="4"/>
  <c r="B7" i="4"/>
  <c r="M2" i="4"/>
  <c r="M9" i="4" s="1"/>
  <c r="L2" i="4"/>
  <c r="L9" i="4" s="1"/>
  <c r="K2" i="4"/>
  <c r="K9" i="4" s="1"/>
  <c r="J2" i="4"/>
  <c r="J9" i="4" s="1"/>
  <c r="I2" i="4"/>
  <c r="I9" i="4" s="1"/>
  <c r="H2" i="4"/>
  <c r="H9" i="4" s="1"/>
  <c r="G2" i="4"/>
  <c r="G9" i="4" s="1"/>
  <c r="F2" i="4"/>
  <c r="F9" i="4" s="1"/>
  <c r="E2" i="4"/>
  <c r="E11" i="4" s="1"/>
  <c r="F8" i="4" l="1"/>
  <c r="F10" i="4"/>
  <c r="B8" i="4"/>
  <c r="F11" i="4" l="1"/>
  <c r="G10" i="4" l="1"/>
  <c r="G8" i="4"/>
  <c r="G11" i="4" s="1"/>
  <c r="H10" i="4" l="1"/>
  <c r="H8" i="4"/>
  <c r="H11" i="4" s="1"/>
  <c r="I10" i="4" l="1"/>
  <c r="I8" i="4"/>
  <c r="I11" i="4" s="1"/>
  <c r="J8" i="4" l="1"/>
  <c r="J10" i="4"/>
  <c r="J11" i="4" l="1"/>
  <c r="K10" i="4" l="1"/>
  <c r="K8" i="4"/>
  <c r="K11" i="4" s="1"/>
  <c r="L8" i="4" l="1"/>
  <c r="L10" i="4"/>
  <c r="L11" i="4" l="1"/>
  <c r="M10" i="4" l="1"/>
  <c r="M8" i="4"/>
  <c r="M11" i="4" s="1"/>
  <c r="G22" i="3" l="1"/>
  <c r="G21" i="3"/>
  <c r="G20" i="3"/>
  <c r="G19" i="3"/>
  <c r="G18" i="3"/>
  <c r="G17" i="3"/>
  <c r="G16" i="3"/>
  <c r="G15" i="3"/>
  <c r="B15" i="3"/>
  <c r="G14" i="3"/>
  <c r="G13" i="3"/>
  <c r="G12" i="3"/>
  <c r="G11" i="3"/>
  <c r="G10" i="3"/>
  <c r="G9" i="3"/>
  <c r="G8" i="3"/>
  <c r="G7" i="3"/>
  <c r="G6" i="3"/>
  <c r="G5" i="3"/>
  <c r="G4" i="3"/>
  <c r="G3" i="3"/>
  <c r="F3" i="3"/>
  <c r="H2" i="3"/>
  <c r="E3" i="3" s="1"/>
  <c r="H3" i="3" l="1"/>
  <c r="E4" i="3" s="1"/>
  <c r="I3" i="3" l="1"/>
  <c r="F4" i="3" s="1"/>
  <c r="H4" i="3" s="1"/>
  <c r="I4" i="3" l="1"/>
  <c r="E5" i="3"/>
  <c r="F5" i="3" l="1"/>
  <c r="H5" i="3" s="1"/>
  <c r="E6" i="3" l="1"/>
  <c r="I5" i="3"/>
  <c r="F6" i="3" l="1"/>
  <c r="H6" i="3" s="1"/>
  <c r="I6" i="3" l="1"/>
  <c r="E7" i="3"/>
  <c r="F7" i="3" l="1"/>
  <c r="H7" i="3" s="1"/>
  <c r="E8" i="3" l="1"/>
  <c r="I7" i="3"/>
  <c r="F8" i="3" l="1"/>
  <c r="H8" i="3" s="1"/>
  <c r="I8" i="3" l="1"/>
  <c r="F9" i="3" s="1"/>
  <c r="E9" i="3"/>
  <c r="H9" i="3" l="1"/>
  <c r="E10" i="3" l="1"/>
  <c r="I9" i="3"/>
  <c r="F10" i="3" s="1"/>
  <c r="H10" i="3" l="1"/>
  <c r="I10" i="3" l="1"/>
  <c r="F11" i="3" s="1"/>
  <c r="E11" i="3"/>
  <c r="H11" i="3" l="1"/>
  <c r="E12" i="3" l="1"/>
  <c r="I11" i="3"/>
  <c r="F12" i="3" s="1"/>
  <c r="H12" i="3" l="1"/>
  <c r="E13" i="3" l="1"/>
  <c r="I12" i="3"/>
  <c r="F13" i="3" s="1"/>
  <c r="H13" i="3" l="1"/>
  <c r="E14" i="3" l="1"/>
  <c r="I13" i="3"/>
  <c r="F14" i="3" s="1"/>
  <c r="H14" i="3" l="1"/>
  <c r="E15" i="3" l="1"/>
  <c r="I14" i="3"/>
  <c r="F15" i="3" s="1"/>
  <c r="H15" i="3" l="1"/>
  <c r="E16" i="3" l="1"/>
  <c r="I15" i="3"/>
  <c r="F16" i="3" s="1"/>
  <c r="H16" i="3" l="1"/>
  <c r="I16" i="3" l="1"/>
  <c r="F17" i="3" s="1"/>
  <c r="E17" i="3"/>
  <c r="H17" i="3" l="1"/>
  <c r="E18" i="3" l="1"/>
  <c r="I17" i="3"/>
  <c r="F18" i="3" s="1"/>
  <c r="H18" i="3" l="1"/>
  <c r="I18" i="3" l="1"/>
  <c r="F19" i="3" s="1"/>
  <c r="E19" i="3"/>
  <c r="H19" i="3" l="1"/>
  <c r="E20" i="3" l="1"/>
  <c r="I19" i="3"/>
  <c r="F20" i="3" s="1"/>
  <c r="E11" i="2"/>
  <c r="D11" i="2"/>
  <c r="C11" i="2"/>
  <c r="E10" i="2"/>
  <c r="D10" i="2"/>
  <c r="C10" i="2"/>
  <c r="C13" i="2" s="1" a="1"/>
  <c r="C13" i="2" s="1"/>
  <c r="A1" i="2" s="1"/>
  <c r="F7" i="2"/>
  <c r="A7" i="2"/>
  <c r="F6" i="2"/>
  <c r="A6" i="2" a="1"/>
  <c r="A6" i="2" s="1"/>
  <c r="A5" i="2" a="1"/>
  <c r="A5" i="2" s="1"/>
  <c r="A4" i="2" a="1"/>
  <c r="A4" i="2" s="1"/>
  <c r="A3" i="2" a="1"/>
  <c r="A3" i="2" s="1"/>
  <c r="A2" i="2"/>
  <c r="E10" i="1"/>
  <c r="E8" i="1"/>
  <c r="E11" i="1" s="1"/>
  <c r="D8" i="1"/>
  <c r="D10" i="1" s="1"/>
  <c r="C8" i="1"/>
  <c r="C11" i="1" s="1"/>
  <c r="F7" i="1"/>
  <c r="A7" i="1"/>
  <c r="F6" i="1"/>
  <c r="A5" i="1" s="1" a="1"/>
  <c r="A5" i="1" s="1"/>
  <c r="A6" i="1" a="1"/>
  <c r="A6" i="1" s="1"/>
  <c r="A4" i="1" a="1"/>
  <c r="A4" i="1" s="1"/>
  <c r="A3" i="1" a="1"/>
  <c r="A3" i="1" s="1"/>
  <c r="A2" i="1"/>
  <c r="C10" i="1" l="1"/>
  <c r="H20" i="3"/>
  <c r="D11" i="1"/>
  <c r="C13" i="1" s="1" a="1"/>
  <c r="C13" i="1" s="1"/>
  <c r="A1" i="1" s="1"/>
  <c r="I20" i="3" l="1"/>
  <c r="F21" i="3" s="1"/>
  <c r="E21" i="3"/>
  <c r="H21" i="3" l="1"/>
  <c r="E22" i="3" l="1"/>
  <c r="I21" i="3"/>
  <c r="F22" i="3" s="1"/>
  <c r="H22" i="3" l="1"/>
  <c r="I22" i="3" s="1"/>
  <c r="B12" i="3" s="1"/>
  <c r="B13" i="3" s="1"/>
  <c r="L1" i="3" s="1"/>
</calcChain>
</file>

<file path=xl/sharedStrings.xml><?xml version="1.0" encoding="utf-8"?>
<sst xmlns="http://schemas.openxmlformats.org/spreadsheetml/2006/main" count="130" uniqueCount="123">
  <si>
    <t>书店一</t>
    <phoneticPr fontId="4" type="noConversion"/>
  </si>
  <si>
    <t>书店二</t>
    <phoneticPr fontId="4" type="noConversion"/>
  </si>
  <si>
    <t>书店三</t>
    <phoneticPr fontId="4" type="noConversion"/>
  </si>
  <si>
    <t>微观经济学</t>
    <phoneticPr fontId="4" type="noConversion"/>
  </si>
  <si>
    <t>宏观经济学</t>
    <phoneticPr fontId="4" type="noConversion"/>
  </si>
  <si>
    <t>折扣</t>
    <phoneticPr fontId="4" type="noConversion"/>
  </si>
  <si>
    <t>数量</t>
    <phoneticPr fontId="4" type="noConversion"/>
  </si>
  <si>
    <t>单价</t>
    <phoneticPr fontId="4" type="noConversion"/>
  </si>
  <si>
    <t xml:space="preserve">总费用 </t>
    <phoneticPr fontId="4" type="noConversion"/>
  </si>
  <si>
    <t>书店一</t>
    <phoneticPr fontId="4" type="noConversion"/>
  </si>
  <si>
    <t>书店二</t>
    <phoneticPr fontId="4" type="noConversion"/>
  </si>
  <si>
    <t>书店三</t>
    <phoneticPr fontId="4" type="noConversion"/>
  </si>
  <si>
    <t>生产周数</t>
    <phoneticPr fontId="4" type="noConversion"/>
  </si>
  <si>
    <t>期初库存</t>
  </si>
  <si>
    <t>产量</t>
  </si>
  <si>
    <t>随机需求</t>
    <phoneticPr fontId="7" type="noConversion"/>
  </si>
  <si>
    <t>期末库存</t>
  </si>
  <si>
    <t>加班标志</t>
    <phoneticPr fontId="7" type="noConversion"/>
  </si>
  <si>
    <t>初始库存</t>
  </si>
  <si>
    <t>正常产量</t>
    <phoneticPr fontId="4" type="noConversion"/>
  </si>
  <si>
    <t>加班产量</t>
    <phoneticPr fontId="7" type="noConversion"/>
  </si>
  <si>
    <t>需求均值</t>
    <phoneticPr fontId="8" type="noConversion"/>
  </si>
  <si>
    <t>标准差</t>
    <phoneticPr fontId="8" type="noConversion"/>
  </si>
  <si>
    <t>加班库存标准</t>
    <phoneticPr fontId="8" type="noConversion"/>
  </si>
  <si>
    <t>加班次数</t>
    <phoneticPr fontId="4" type="noConversion"/>
  </si>
  <si>
    <t>加班概率</t>
    <phoneticPr fontId="4" type="noConversion"/>
  </si>
  <si>
    <t>加班概率&gt;=40%的风险概率</t>
    <phoneticPr fontId="4" type="noConversion"/>
  </si>
  <si>
    <t>期望年回报率</t>
    <phoneticPr fontId="4" type="noConversion"/>
  </si>
  <si>
    <t>第0年</t>
    <phoneticPr fontId="4" type="noConversion"/>
  </si>
  <si>
    <t>第1年</t>
  </si>
  <si>
    <t>第2年</t>
  </si>
  <si>
    <t>第3年</t>
  </si>
  <si>
    <t>第4年</t>
  </si>
  <si>
    <t>第5年</t>
  </si>
  <si>
    <t>第6年</t>
  </si>
  <si>
    <t>第7年</t>
  </si>
  <si>
    <t>第8年</t>
  </si>
  <si>
    <t>公寓买入价</t>
    <phoneticPr fontId="4" type="noConversion"/>
  </si>
  <si>
    <t>年限</t>
    <phoneticPr fontId="4" type="noConversion"/>
  </si>
  <si>
    <t>年租金</t>
    <phoneticPr fontId="4" type="noConversion"/>
  </si>
  <si>
    <t>公寓售出价</t>
    <phoneticPr fontId="4" type="noConversion"/>
  </si>
  <si>
    <t>贷款利率</t>
    <phoneticPr fontId="4" type="noConversion"/>
  </si>
  <si>
    <t>投资年回报率-1</t>
    <phoneticPr fontId="4" type="noConversion"/>
  </si>
  <si>
    <t>投资年回报率-2</t>
    <phoneticPr fontId="4" type="noConversion"/>
  </si>
  <si>
    <t>期初贷款余额</t>
  </si>
  <si>
    <t>回报</t>
  </si>
  <si>
    <t>应得年租金</t>
    <phoneticPr fontId="4" type="noConversion"/>
  </si>
  <si>
    <t>贷款利息</t>
  </si>
  <si>
    <t>期末贷款余额</t>
  </si>
  <si>
    <t>应得售出价</t>
    <phoneticPr fontId="4" type="noConversion"/>
  </si>
  <si>
    <t>生产能力</t>
    <phoneticPr fontId="4" type="noConversion"/>
  </si>
  <si>
    <t>固定成本</t>
    <phoneticPr fontId="4" type="noConversion"/>
  </si>
  <si>
    <t>产品销售价格</t>
    <phoneticPr fontId="4" type="noConversion"/>
  </si>
  <si>
    <t>产品销售税金</t>
    <phoneticPr fontId="4" type="noConversion"/>
  </si>
  <si>
    <t>单位变动成本</t>
    <phoneticPr fontId="4" type="noConversion"/>
  </si>
  <si>
    <t>单位边际贡献</t>
    <phoneticPr fontId="4" type="noConversion"/>
  </si>
  <si>
    <t>边际贡献律</t>
    <phoneticPr fontId="4" type="noConversion"/>
  </si>
  <si>
    <t>总成本</t>
    <phoneticPr fontId="4" type="noConversion"/>
  </si>
  <si>
    <t>收益</t>
    <phoneticPr fontId="4" type="noConversion"/>
  </si>
  <si>
    <t>销售税金</t>
    <phoneticPr fontId="4" type="noConversion"/>
  </si>
  <si>
    <t>利润</t>
    <phoneticPr fontId="4" type="noConversion"/>
  </si>
  <si>
    <t>盈亏平衡销量</t>
    <phoneticPr fontId="4" type="noConversion"/>
  </si>
  <si>
    <t>盈亏平衡销售收益</t>
    <phoneticPr fontId="4" type="noConversion"/>
  </si>
  <si>
    <t>单位可变成本</t>
    <phoneticPr fontId="8" type="noConversion"/>
  </si>
  <si>
    <t>相对盈亏平衡点</t>
    <phoneticPr fontId="9" type="noConversion"/>
  </si>
  <si>
    <t>对应成本</t>
    <phoneticPr fontId="9" type="noConversion"/>
  </si>
  <si>
    <t>需求量（件）</t>
    <phoneticPr fontId="9" type="noConversion"/>
  </si>
  <si>
    <t>外购方案</t>
    <phoneticPr fontId="8" type="noConversion"/>
  </si>
  <si>
    <t>单价（元/件）</t>
    <phoneticPr fontId="9" type="noConversion"/>
  </si>
  <si>
    <t>外购方案成本（元）</t>
    <phoneticPr fontId="9" type="noConversion"/>
  </si>
  <si>
    <t>自制方案</t>
    <phoneticPr fontId="8" type="noConversion"/>
  </si>
  <si>
    <t>固定成本（元）</t>
    <phoneticPr fontId="9" type="noConversion"/>
  </si>
  <si>
    <t>单位可变成本（元/件）</t>
    <phoneticPr fontId="9" type="noConversion"/>
  </si>
  <si>
    <t>自制方案成本（元）</t>
    <phoneticPr fontId="9" type="noConversion"/>
  </si>
  <si>
    <t>共同成本（元）</t>
    <phoneticPr fontId="9" type="noConversion"/>
  </si>
  <si>
    <t>年需要量</t>
    <phoneticPr fontId="4" type="noConversion"/>
  </si>
  <si>
    <t>运价优惠表</t>
    <phoneticPr fontId="4" type="noConversion"/>
  </si>
  <si>
    <t>参考点</t>
    <phoneticPr fontId="4" type="noConversion"/>
  </si>
  <si>
    <t>单位年储存成本</t>
    <phoneticPr fontId="4" type="noConversion"/>
  </si>
  <si>
    <t>订货量阈限值</t>
    <phoneticPr fontId="4" type="noConversion"/>
  </si>
  <si>
    <t>单位运价折扣率</t>
    <phoneticPr fontId="4" type="noConversion"/>
  </si>
  <si>
    <t>一次订购的订货成本</t>
    <phoneticPr fontId="4" type="noConversion"/>
  </si>
  <si>
    <t>标准每吨运费</t>
    <phoneticPr fontId="4" type="noConversion"/>
  </si>
  <si>
    <t>订货量</t>
    <phoneticPr fontId="4" type="noConversion"/>
  </si>
  <si>
    <t>实际每吨运费</t>
    <phoneticPr fontId="4" type="noConversion"/>
  </si>
  <si>
    <t>年订货成本</t>
    <phoneticPr fontId="4" type="noConversion"/>
  </si>
  <si>
    <t>年储存成本</t>
    <phoneticPr fontId="4" type="noConversion"/>
  </si>
  <si>
    <t>年运输成本</t>
    <phoneticPr fontId="4" type="noConversion"/>
  </si>
  <si>
    <t>年总成本</t>
    <phoneticPr fontId="4" type="noConversion"/>
  </si>
  <si>
    <t>经济订货量EOQ</t>
    <phoneticPr fontId="4" type="noConversion"/>
  </si>
  <si>
    <t>EOQ下的年订货成本</t>
    <phoneticPr fontId="4" type="noConversion"/>
  </si>
  <si>
    <t>EOQ下的年储存成本</t>
    <phoneticPr fontId="4" type="noConversion"/>
  </si>
  <si>
    <t>EOQ下的年运输成本</t>
    <phoneticPr fontId="4" type="noConversion"/>
  </si>
  <si>
    <t>EOQ下的年总成本</t>
    <phoneticPr fontId="4" type="noConversion"/>
  </si>
  <si>
    <t>贴现率</t>
  </si>
  <si>
    <t>初始投资额</t>
  </si>
  <si>
    <t>年限</t>
  </si>
  <si>
    <t xml:space="preserve">    </t>
    <phoneticPr fontId="4" type="noConversion"/>
  </si>
  <si>
    <t>项目A</t>
  </si>
  <si>
    <t>项目B</t>
  </si>
  <si>
    <t>每年现金流入量</t>
  </si>
  <si>
    <t>10年末一次性现金流入量</t>
  </si>
  <si>
    <t>净现值</t>
  </si>
  <si>
    <t>内部报酬率</t>
  </si>
  <si>
    <t>结论</t>
  </si>
  <si>
    <t>查表加内插值方法的贴现率</t>
    <phoneticPr fontId="4" type="noConversion"/>
  </si>
  <si>
    <t>内插值方法</t>
  </si>
  <si>
    <t>A</t>
    <phoneticPr fontId="4" type="noConversion"/>
  </si>
  <si>
    <t>B</t>
    <phoneticPr fontId="4" type="noConversion"/>
  </si>
  <si>
    <t>1年期存款年利率</t>
    <phoneticPr fontId="4" type="noConversion"/>
  </si>
  <si>
    <t>3年期存款年利率</t>
    <phoneticPr fontId="4" type="noConversion"/>
  </si>
  <si>
    <t>2008年</t>
    <phoneticPr fontId="4" type="noConversion"/>
  </si>
  <si>
    <t>2009年</t>
  </si>
  <si>
    <t>2010年</t>
  </si>
  <si>
    <t>2011年</t>
  </si>
  <si>
    <t>2012年</t>
  </si>
  <si>
    <t>本金</t>
    <phoneticPr fontId="4" type="noConversion"/>
  </si>
  <si>
    <t>到期本息和</t>
    <phoneticPr fontId="4" type="noConversion"/>
  </si>
  <si>
    <t>其他收入</t>
    <phoneticPr fontId="4" type="noConversion"/>
  </si>
  <si>
    <t>其他支出</t>
    <phoneticPr fontId="4" type="noConversion"/>
  </si>
  <si>
    <t>1年期存款</t>
    <phoneticPr fontId="4" type="noConversion"/>
  </si>
  <si>
    <t>3年期存款</t>
    <phoneticPr fontId="4" type="noConversion"/>
  </si>
  <si>
    <t>余额</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</si>
</sst>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quot;¥&quot;#,##0.00;[Red]&quot;¥&quot;\-#,##0.00"/>
    <numFmt numFmtId="176" formatCode="0.00_ "/>
    <numFmt numFmtId="177" formatCode="0.0%"/>
    <numFmt numFmtId="178" formatCode="0.0"/>
    <numFmt numFmtId="179" formatCode="&quot;$&quot;#,##0.00_);\(&quot;$&quot;#,##0.00\)"/>
    <numFmt numFmtId="180" formatCode="&quot;$&quot;#,##0.0_);\(&quot;$&quot;#,##0.0\)"/>
    <numFmt numFmtId="181" formatCode="&quot;¥&quot;#,##0;[Red]\-&quot;¥&quot;#,##0"/>
  </numFmts>
  <fonts count="18">
    <font>
      <sz val="12"/>
      <name val="宋体"/>
      <family val="3"/>
      <charset val="134"/>
    </font>
    <font>
      <sz val="11"/>
      <color theme="1"/>
      <name val="宋体"/>
      <family val="2"/>
      <charset val="134"/>
      <scheme val="minor"/>
    </font>
    <font>
      <sz val="12"/>
      <name val="宋体"/>
      <family val="3"/>
      <charset val="134"/>
    </font>
    <font>
      <sz val="11"/>
      <name val="宋体"/>
      <family val="3"/>
      <charset val="134"/>
    </font>
    <font>
      <sz val="9"/>
      <name val="宋体"/>
      <family val="3"/>
      <charset val="134"/>
    </font>
    <font>
      <sz val="10"/>
      <name val="Arial"/>
      <family val="2"/>
    </font>
    <font>
      <sz val="10"/>
      <name val="宋体"/>
      <family val="3"/>
      <charset val="134"/>
    </font>
    <font>
      <sz val="8"/>
      <name val="宋体"/>
      <family val="3"/>
      <charset val="134"/>
    </font>
    <font>
      <sz val="9"/>
      <name val="宋体"/>
      <family val="2"/>
      <charset val="134"/>
      <scheme val="minor"/>
    </font>
    <font>
      <b/>
      <i/>
      <sz val="10"/>
      <name val="Arial"/>
      <family val="2"/>
    </font>
    <font>
      <sz val="11"/>
      <color indexed="19"/>
      <name val="宋体"/>
      <family val="3"/>
      <charset val="134"/>
    </font>
    <font>
      <sz val="11"/>
      <color indexed="8"/>
      <name val="宋体"/>
      <family val="3"/>
      <charset val="134"/>
    </font>
    <font>
      <sz val="11"/>
      <color indexed="9"/>
      <name val="宋体"/>
      <family val="3"/>
      <charset val="134"/>
    </font>
    <font>
      <sz val="8"/>
      <name val="Arial"/>
      <family val="2"/>
    </font>
    <font>
      <sz val="12"/>
      <name val="仿宋_GB2312"/>
      <family val="3"/>
      <charset val="134"/>
    </font>
    <font>
      <sz val="12"/>
      <color indexed="19"/>
      <name val="宋体"/>
      <family val="3"/>
      <charset val="134"/>
    </font>
    <font>
      <sz val="10"/>
      <color indexed="10"/>
      <name val="宋体"/>
      <family val="3"/>
      <charset val="134"/>
    </font>
    <font>
      <sz val="11"/>
      <name val="宋体"/>
      <family val="3"/>
      <charset val="134"/>
      <scheme val="minor"/>
    </font>
  </fonts>
  <fills count="1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rgb="FFFFFF00"/>
        <bgColor indexed="64"/>
      </patternFill>
    </fill>
    <fill>
      <patternFill patternType="solid">
        <fgColor indexed="16"/>
        <bgColor indexed="64"/>
      </patternFill>
    </fill>
    <fill>
      <patternFill patternType="solid">
        <fgColor indexed="13"/>
        <bgColor indexed="64"/>
      </patternFill>
    </fill>
    <fill>
      <patternFill patternType="solid">
        <fgColor rgb="FF92D050"/>
        <bgColor indexed="64"/>
      </patternFill>
    </fill>
    <fill>
      <patternFill patternType="solid">
        <fgColor indexed="19"/>
        <bgColor indexed="64"/>
      </patternFill>
    </fill>
    <fill>
      <patternFill patternType="solid">
        <fgColor indexed="42"/>
        <bgColor indexed="64"/>
      </patternFill>
    </fill>
    <fill>
      <patternFill patternType="solid">
        <fgColor indexed="9"/>
        <bgColor indexed="64"/>
      </patternFill>
    </fill>
    <fill>
      <patternFill patternType="solid">
        <fgColor rgb="FFCCFF99"/>
        <bgColor indexed="64"/>
      </patternFill>
    </fill>
    <fill>
      <patternFill patternType="solid">
        <fgColor theme="0" tint="-0.14999847407452621"/>
        <bgColor indexed="64"/>
      </patternFill>
    </fill>
    <fill>
      <patternFill patternType="solid">
        <fgColor indexed="26"/>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8">
    <xf numFmtId="0" fontId="0" fillId="0" borderId="0">
      <alignment vertical="center"/>
    </xf>
    <xf numFmtId="0" fontId="2" fillId="0" borderId="0">
      <alignment vertical="center"/>
    </xf>
    <xf numFmtId="0" fontId="2" fillId="0" borderId="0"/>
    <xf numFmtId="9" fontId="2"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alignment vertical="center"/>
    </xf>
    <xf numFmtId="0" fontId="5" fillId="0" borderId="0"/>
    <xf numFmtId="0" fontId="5" fillId="0" borderId="0"/>
    <xf numFmtId="0" fontId="2" fillId="0" borderId="0">
      <alignment vertical="center"/>
    </xf>
    <xf numFmtId="9" fontId="5" fillId="0" borderId="0" applyFont="0" applyFill="0" applyBorder="0" applyAlignment="0" applyProtection="0"/>
    <xf numFmtId="0" fontId="5" fillId="0" borderId="0"/>
    <xf numFmtId="0" fontId="1" fillId="0" borderId="0">
      <alignment vertical="center"/>
    </xf>
    <xf numFmtId="9" fontId="2" fillId="0" borderId="0" applyFont="0" applyFill="0" applyBorder="0" applyAlignment="0" applyProtection="0"/>
    <xf numFmtId="0" fontId="2" fillId="0" borderId="0"/>
    <xf numFmtId="0" fontId="5" fillId="0" borderId="0"/>
    <xf numFmtId="0" fontId="13" fillId="0" borderId="0"/>
    <xf numFmtId="0" fontId="2" fillId="0" borderId="0"/>
    <xf numFmtId="0" fontId="2" fillId="0" borderId="0"/>
  </cellStyleXfs>
  <cellXfs count="106">
    <xf numFmtId="0" fontId="0" fillId="0" borderId="0" xfId="0">
      <alignment vertical="center"/>
    </xf>
    <xf numFmtId="0" fontId="3" fillId="0" borderId="0" xfId="0" applyFont="1">
      <alignment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4" borderId="0" xfId="0" applyFont="1" applyFill="1">
      <alignment vertical="center"/>
    </xf>
    <xf numFmtId="0" fontId="3" fillId="0" borderId="0" xfId="0" applyFont="1" applyFill="1">
      <alignment vertical="center"/>
    </xf>
    <xf numFmtId="0" fontId="6" fillId="0" borderId="0" xfId="1" applyFont="1" applyBorder="1">
      <alignment vertical="center"/>
    </xf>
    <xf numFmtId="0" fontId="6" fillId="5" borderId="0" xfId="1" applyFont="1" applyFill="1">
      <alignment vertical="center"/>
    </xf>
    <xf numFmtId="0" fontId="6" fillId="0" borderId="0" xfId="2" applyFont="1" applyBorder="1" applyAlignment="1">
      <alignment horizontal="center"/>
    </xf>
    <xf numFmtId="0" fontId="6" fillId="0" borderId="0" xfId="1" applyFont="1">
      <alignment vertical="center"/>
    </xf>
    <xf numFmtId="9" fontId="6" fillId="0" borderId="0" xfId="1" applyNumberFormat="1" applyFont="1">
      <alignment vertical="center"/>
    </xf>
    <xf numFmtId="0" fontId="6" fillId="0" borderId="0" xfId="2" applyFont="1" applyBorder="1"/>
    <xf numFmtId="0" fontId="6" fillId="0" borderId="0" xfId="2" applyFont="1" applyFill="1" applyBorder="1"/>
    <xf numFmtId="9" fontId="6" fillId="0" borderId="0" xfId="3" applyFont="1">
      <alignment vertical="center"/>
    </xf>
    <xf numFmtId="9" fontId="6" fillId="0" borderId="0" xfId="4" applyFont="1">
      <alignment vertical="center"/>
    </xf>
    <xf numFmtId="176" fontId="6" fillId="0" borderId="0" xfId="1" applyNumberFormat="1" applyFont="1">
      <alignment vertical="center"/>
    </xf>
    <xf numFmtId="0" fontId="6" fillId="0" borderId="0" xfId="6" applyFont="1" applyFill="1" applyBorder="1"/>
    <xf numFmtId="9" fontId="5" fillId="6" borderId="0" xfId="7" applyNumberFormat="1" applyFill="1" applyBorder="1"/>
    <xf numFmtId="0" fontId="5" fillId="0" borderId="0" xfId="7"/>
    <xf numFmtId="0" fontId="6" fillId="0" borderId="0" xfId="8" applyFont="1" applyBorder="1">
      <alignment vertical="center"/>
    </xf>
    <xf numFmtId="0" fontId="5" fillId="6" borderId="0" xfId="7" applyFill="1" applyBorder="1"/>
    <xf numFmtId="0" fontId="5" fillId="7" borderId="0" xfId="7" applyFill="1"/>
    <xf numFmtId="0" fontId="5" fillId="0" borderId="0" xfId="7" applyFill="1" applyBorder="1"/>
    <xf numFmtId="0" fontId="5" fillId="0" borderId="0" xfId="7" applyBorder="1"/>
    <xf numFmtId="0" fontId="6" fillId="0" borderId="0" xfId="7" applyFont="1"/>
    <xf numFmtId="177" fontId="5" fillId="0" borderId="0" xfId="7" applyNumberFormat="1"/>
    <xf numFmtId="177" fontId="5" fillId="7" borderId="0" xfId="7" applyNumberFormat="1" applyFill="1" applyBorder="1"/>
    <xf numFmtId="10" fontId="0" fillId="0" borderId="0" xfId="9" applyNumberFormat="1" applyFont="1"/>
    <xf numFmtId="0" fontId="5" fillId="0" borderId="1" xfId="7" applyFill="1" applyBorder="1"/>
    <xf numFmtId="10" fontId="0" fillId="0" borderId="1" xfId="9" applyNumberFormat="1" applyFont="1" applyBorder="1"/>
    <xf numFmtId="0" fontId="5" fillId="0" borderId="1" xfId="7" applyBorder="1"/>
    <xf numFmtId="0" fontId="5" fillId="7" borderId="0" xfId="7" applyFill="1" applyBorder="1"/>
    <xf numFmtId="0" fontId="6" fillId="0" borderId="0" xfId="7" applyFont="1" applyFill="1" applyBorder="1"/>
    <xf numFmtId="176" fontId="5" fillId="7" borderId="0" xfId="7" applyNumberFormat="1" applyFill="1" applyBorder="1"/>
    <xf numFmtId="176" fontId="5" fillId="0" borderId="1" xfId="7" applyNumberFormat="1" applyBorder="1"/>
    <xf numFmtId="0" fontId="5" fillId="8" borderId="0" xfId="10" applyFill="1"/>
    <xf numFmtId="0" fontId="1" fillId="0" borderId="0" xfId="11">
      <alignment vertical="center"/>
    </xf>
    <xf numFmtId="0" fontId="6" fillId="2" borderId="1" xfId="10" applyFont="1" applyFill="1" applyBorder="1"/>
    <xf numFmtId="0" fontId="5" fillId="3" borderId="1" xfId="10" applyFill="1" applyBorder="1"/>
    <xf numFmtId="9" fontId="5" fillId="3" borderId="1" xfId="12" applyFont="1" applyFill="1" applyBorder="1"/>
    <xf numFmtId="0" fontId="2" fillId="0" borderId="0" xfId="13"/>
    <xf numFmtId="0" fontId="5" fillId="9" borderId="1" xfId="10" applyFill="1" applyBorder="1"/>
    <xf numFmtId="0" fontId="3" fillId="8" borderId="0" xfId="14" applyFont="1" applyFill="1" applyBorder="1" applyAlignment="1">
      <alignment vertical="center"/>
    </xf>
    <xf numFmtId="0" fontId="3" fillId="0" borderId="0" xfId="14" applyFont="1" applyFill="1" applyBorder="1" applyAlignment="1">
      <alignment vertical="center"/>
    </xf>
    <xf numFmtId="0" fontId="3" fillId="0" borderId="0" xfId="14" applyFont="1" applyFill="1" applyAlignment="1">
      <alignment vertical="center"/>
    </xf>
    <xf numFmtId="0" fontId="3" fillId="0" borderId="0" xfId="14" applyFont="1" applyFill="1" applyAlignment="1">
      <alignment horizontal="center" vertical="center"/>
    </xf>
    <xf numFmtId="0" fontId="3" fillId="2" borderId="1" xfId="14" applyFont="1" applyFill="1" applyBorder="1" applyAlignment="1">
      <alignment vertical="center"/>
    </xf>
    <xf numFmtId="0" fontId="3" fillId="10" borderId="1" xfId="14" applyFont="1" applyFill="1" applyBorder="1" applyAlignment="1">
      <alignment vertical="center"/>
    </xf>
    <xf numFmtId="0" fontId="10" fillId="8" borderId="0" xfId="14" applyFont="1" applyFill="1" applyBorder="1" applyAlignment="1">
      <alignment vertical="center"/>
    </xf>
    <xf numFmtId="0" fontId="10" fillId="0" borderId="0" xfId="14" applyFont="1" applyFill="1" applyBorder="1" applyAlignment="1">
      <alignment vertical="center"/>
    </xf>
    <xf numFmtId="0" fontId="11" fillId="0" borderId="0" xfId="14" applyFont="1" applyFill="1" applyAlignment="1">
      <alignment vertical="center"/>
    </xf>
    <xf numFmtId="0" fontId="11" fillId="11" borderId="1" xfId="14" applyNumberFormat="1" applyFont="1" applyFill="1" applyBorder="1" applyAlignment="1">
      <alignment horizontal="center" vertical="center"/>
    </xf>
    <xf numFmtId="178" fontId="3" fillId="0" borderId="1" xfId="14" applyNumberFormat="1" applyFont="1" applyFill="1" applyBorder="1" applyAlignment="1">
      <alignment horizontal="center" vertical="center"/>
    </xf>
    <xf numFmtId="0" fontId="12" fillId="8" borderId="0" xfId="14" applyFont="1" applyFill="1" applyBorder="1" applyAlignment="1">
      <alignment vertical="center"/>
    </xf>
    <xf numFmtId="0" fontId="11" fillId="12" borderId="1" xfId="14" applyFont="1" applyFill="1" applyBorder="1" applyAlignment="1">
      <alignment horizontal="center" vertical="center"/>
    </xf>
    <xf numFmtId="0" fontId="11" fillId="0" borderId="1" xfId="14" applyFont="1" applyFill="1" applyBorder="1" applyAlignment="1">
      <alignment horizontal="center" vertical="center"/>
    </xf>
    <xf numFmtId="0" fontId="3" fillId="0" borderId="2" xfId="14" applyFont="1" applyFill="1" applyBorder="1" applyAlignment="1">
      <alignment horizontal="center" vertical="center"/>
    </xf>
    <xf numFmtId="0" fontId="3" fillId="13" borderId="1" xfId="14" applyNumberFormat="1" applyFont="1" applyFill="1" applyBorder="1" applyAlignment="1">
      <alignment vertical="center"/>
    </xf>
    <xf numFmtId="0" fontId="3" fillId="9" borderId="1" xfId="14" applyNumberFormat="1" applyFont="1" applyFill="1" applyBorder="1" applyAlignment="1">
      <alignment vertical="center"/>
    </xf>
    <xf numFmtId="179" fontId="3" fillId="8" borderId="0" xfId="14" applyNumberFormat="1" applyFont="1" applyFill="1" applyBorder="1" applyAlignment="1">
      <alignment vertical="center"/>
    </xf>
    <xf numFmtId="0" fontId="3" fillId="8" borderId="0" xfId="14" applyFont="1" applyFill="1" applyAlignment="1">
      <alignment vertical="center"/>
    </xf>
    <xf numFmtId="0" fontId="3" fillId="0" borderId="1" xfId="14" applyFont="1" applyFill="1" applyBorder="1" applyAlignment="1">
      <alignment horizontal="center" vertical="center"/>
    </xf>
    <xf numFmtId="0" fontId="3" fillId="8" borderId="0" xfId="14" applyFont="1" applyFill="1" applyBorder="1" applyAlignment="1">
      <alignment horizontal="center" vertical="center"/>
    </xf>
    <xf numFmtId="178" fontId="3" fillId="9" borderId="1" xfId="14" applyNumberFormat="1" applyFont="1" applyFill="1" applyBorder="1" applyAlignment="1">
      <alignment vertical="center"/>
    </xf>
    <xf numFmtId="180" fontId="3" fillId="8" borderId="0" xfId="14" applyNumberFormat="1" applyFont="1" applyFill="1" applyBorder="1" applyAlignment="1">
      <alignment horizontal="center" vertical="center"/>
    </xf>
    <xf numFmtId="0" fontId="2" fillId="0" borderId="0" xfId="16" applyFont="1"/>
    <xf numFmtId="0" fontId="14" fillId="0" borderId="0" xfId="16" applyFont="1"/>
    <xf numFmtId="0" fontId="2" fillId="0" borderId="0" xfId="16" applyFont="1" applyFill="1"/>
    <xf numFmtId="0" fontId="2" fillId="8" borderId="0" xfId="16" applyFont="1" applyFill="1"/>
    <xf numFmtId="0" fontId="14" fillId="8" borderId="0" xfId="16" applyFont="1" applyFill="1"/>
    <xf numFmtId="0" fontId="2" fillId="12" borderId="1" xfId="17" applyFont="1" applyFill="1" applyBorder="1"/>
    <xf numFmtId="0" fontId="2" fillId="14" borderId="1" xfId="17" applyFont="1" applyFill="1" applyBorder="1" applyAlignment="1">
      <alignment horizontal="right"/>
    </xf>
    <xf numFmtId="176" fontId="2" fillId="0" borderId="0" xfId="16" applyNumberFormat="1" applyFont="1"/>
    <xf numFmtId="0" fontId="3" fillId="0" borderId="0" xfId="16" applyFont="1"/>
    <xf numFmtId="0" fontId="2" fillId="14" borderId="1" xfId="17" applyFont="1" applyFill="1" applyBorder="1" applyAlignment="1">
      <alignment horizontal="center"/>
    </xf>
    <xf numFmtId="9" fontId="2" fillId="14" borderId="1" xfId="4" applyFont="1" applyFill="1" applyBorder="1" applyAlignment="1">
      <alignment horizontal="center"/>
    </xf>
    <xf numFmtId="0" fontId="15" fillId="8" borderId="0" xfId="16" applyFont="1" applyFill="1"/>
    <xf numFmtId="176" fontId="2" fillId="15" borderId="1" xfId="17" applyNumberFormat="1" applyFont="1" applyFill="1" applyBorder="1" applyAlignment="1">
      <alignment horizontal="right"/>
    </xf>
    <xf numFmtId="176" fontId="2" fillId="15" borderId="1" xfId="3" applyNumberFormat="1" applyFont="1" applyFill="1" applyBorder="1" applyAlignment="1">
      <alignment horizontal="right"/>
    </xf>
    <xf numFmtId="176" fontId="2" fillId="15" borderId="4" xfId="17" applyNumberFormat="1" applyFont="1" applyFill="1" applyBorder="1" applyAlignment="1">
      <alignment horizontal="right"/>
    </xf>
    <xf numFmtId="176" fontId="2" fillId="15" borderId="5" xfId="17" applyNumberFormat="1" applyFont="1" applyFill="1" applyBorder="1" applyAlignment="1">
      <alignment horizontal="right"/>
    </xf>
    <xf numFmtId="0" fontId="0" fillId="0" borderId="1" xfId="0" applyBorder="1">
      <alignment vertical="center"/>
    </xf>
    <xf numFmtId="9" fontId="0" fillId="0" borderId="1" xfId="0" applyNumberFormat="1" applyBorder="1">
      <alignment vertical="center"/>
    </xf>
    <xf numFmtId="0" fontId="0" fillId="0" borderId="6" xfId="0" applyBorder="1">
      <alignment vertical="center"/>
    </xf>
    <xf numFmtId="181" fontId="0" fillId="0" borderId="1" xfId="0" applyNumberFormat="1" applyBorder="1">
      <alignment vertical="center"/>
    </xf>
    <xf numFmtId="0" fontId="2" fillId="0" borderId="1" xfId="0" applyFont="1" applyBorder="1">
      <alignment vertical="center"/>
    </xf>
    <xf numFmtId="10" fontId="0" fillId="0" borderId="1" xfId="0" applyNumberFormat="1" applyBorder="1">
      <alignment vertical="center"/>
    </xf>
    <xf numFmtId="0" fontId="6" fillId="6" borderId="1" xfId="0" applyFont="1" applyFill="1" applyBorder="1">
      <alignment vertical="center"/>
    </xf>
    <xf numFmtId="0" fontId="16" fillId="6" borderId="1" xfId="0" applyFont="1" applyFill="1" applyBorder="1">
      <alignment vertical="center"/>
    </xf>
    <xf numFmtId="9" fontId="6" fillId="6" borderId="1" xfId="0" applyNumberFormat="1" applyFont="1" applyFill="1" applyBorder="1">
      <alignment vertical="center"/>
    </xf>
    <xf numFmtId="0" fontId="6" fillId="0" borderId="1" xfId="0" applyFont="1" applyBorder="1">
      <alignment vertical="center"/>
    </xf>
    <xf numFmtId="8" fontId="6" fillId="0" borderId="1" xfId="0" applyNumberFormat="1" applyFont="1" applyBorder="1">
      <alignment vertical="center"/>
    </xf>
    <xf numFmtId="9" fontId="6" fillId="2" borderId="1" xfId="0" applyNumberFormat="1" applyFont="1" applyFill="1" applyBorder="1">
      <alignment vertical="center"/>
    </xf>
    <xf numFmtId="0" fontId="6" fillId="2" borderId="1" xfId="0" applyFont="1" applyFill="1" applyBorder="1">
      <alignment vertical="center"/>
    </xf>
    <xf numFmtId="0" fontId="6" fillId="9" borderId="1" xfId="0" applyFont="1" applyFill="1" applyBorder="1">
      <alignment vertical="center"/>
    </xf>
    <xf numFmtId="9" fontId="0" fillId="0" borderId="0" xfId="0" applyNumberFormat="1">
      <alignment vertical="center"/>
    </xf>
    <xf numFmtId="2" fontId="17" fillId="0" borderId="0" xfId="13" applyNumberFormat="1" applyFont="1"/>
    <xf numFmtId="0" fontId="17" fillId="0" borderId="1" xfId="13" applyFont="1" applyFill="1" applyBorder="1" applyAlignment="1"/>
    <xf numFmtId="10" fontId="17" fillId="4" borderId="1" xfId="12" applyNumberFormat="1" applyFont="1" applyFill="1" applyBorder="1"/>
    <xf numFmtId="0" fontId="17" fillId="0" borderId="0" xfId="13" applyFont="1"/>
    <xf numFmtId="0" fontId="17" fillId="0" borderId="1" xfId="13" applyFont="1" applyBorder="1"/>
    <xf numFmtId="2" fontId="17" fillId="0" borderId="1" xfId="13" applyNumberFormat="1" applyFont="1" applyBorder="1"/>
    <xf numFmtId="2" fontId="17" fillId="16" borderId="1" xfId="13" applyNumberFormat="1" applyFont="1" applyFill="1" applyBorder="1"/>
    <xf numFmtId="176" fontId="17" fillId="0" borderId="1" xfId="13" applyNumberFormat="1" applyFont="1" applyBorder="1"/>
    <xf numFmtId="0" fontId="2" fillId="12" borderId="2" xfId="17" applyFont="1" applyFill="1" applyBorder="1" applyAlignment="1">
      <alignment horizontal="center"/>
    </xf>
    <xf numFmtId="0" fontId="2" fillId="12" borderId="3" xfId="17" applyFont="1" applyFill="1" applyBorder="1" applyAlignment="1">
      <alignment horizontal="center"/>
    </xf>
  </cellXfs>
  <cellStyles count="18">
    <cellStyle name="Normal_Calculation (3)" xfId="15"/>
    <cellStyle name="百分比 2" xfId="3"/>
    <cellStyle name="百分比 2 2" xfId="9"/>
    <cellStyle name="百分比 3" xfId="4"/>
    <cellStyle name="百分比 4" xfId="12"/>
    <cellStyle name="常规" xfId="0" builtinId="0"/>
    <cellStyle name="常规 2" xfId="1"/>
    <cellStyle name="常规 2 2" xfId="13"/>
    <cellStyle name="常规 3" xfId="5"/>
    <cellStyle name="常规 4" xfId="7"/>
    <cellStyle name="常规 5" xfId="11"/>
    <cellStyle name="常规_98Exam1答案" xfId="10"/>
    <cellStyle name="常规_第8章投资评价出题-200712" xfId="8"/>
    <cellStyle name="常规_第九章题库答案1" xfId="2"/>
    <cellStyle name="常规_经济订货量第2题" xfId="16"/>
    <cellStyle name="常规_经济订货量第3题" xfId="17"/>
    <cellStyle name="常规_试题3,4答案" xfId="6"/>
    <cellStyle name="常规_盈亏平衡第2题答案" xfId="1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423840769903762"/>
          <c:y val="5.1400554097404488E-2"/>
          <c:w val="0.84797003499562551"/>
          <c:h val="0.89719889180519097"/>
        </c:manualLayout>
      </c:layout>
      <c:scatterChart>
        <c:scatterStyle val="lineMarker"/>
        <c:varyColors val="0"/>
        <c:ser>
          <c:idx val="0"/>
          <c:order val="0"/>
          <c:tx>
            <c:strRef>
              <c:f>第1题答案!$I$22</c:f>
              <c:strCache>
                <c:ptCount val="1"/>
                <c:pt idx="0">
                  <c:v>总成本</c:v>
                </c:pt>
              </c:strCache>
            </c:strRef>
          </c:tx>
          <c:marker>
            <c:symbol val="none"/>
          </c:marker>
          <c:xVal>
            <c:numRef>
              <c:f>第1题答案!$H$24:$H$25</c:f>
              <c:numCache>
                <c:formatCode>General</c:formatCode>
                <c:ptCount val="2"/>
                <c:pt idx="0">
                  <c:v>10</c:v>
                </c:pt>
                <c:pt idx="1">
                  <c:v>200</c:v>
                </c:pt>
              </c:numCache>
            </c:numRef>
          </c:xVal>
          <c:yVal>
            <c:numRef>
              <c:f>第1题答案!$I$24:$I$25</c:f>
              <c:numCache>
                <c:formatCode>General</c:formatCode>
                <c:ptCount val="2"/>
                <c:pt idx="0">
                  <c:v>1130</c:v>
                </c:pt>
                <c:pt idx="1">
                  <c:v>15380</c:v>
                </c:pt>
              </c:numCache>
            </c:numRef>
          </c:yVal>
          <c:smooth val="0"/>
        </c:ser>
        <c:ser>
          <c:idx val="1"/>
          <c:order val="1"/>
          <c:tx>
            <c:strRef>
              <c:f>第1题答案!$J$22</c:f>
              <c:strCache>
                <c:ptCount val="1"/>
                <c:pt idx="0">
                  <c:v>收益</c:v>
                </c:pt>
              </c:strCache>
            </c:strRef>
          </c:tx>
          <c:marker>
            <c:symbol val="none"/>
          </c:marker>
          <c:xVal>
            <c:numRef>
              <c:f>第1题答案!$H$24:$H$25</c:f>
              <c:numCache>
                <c:formatCode>General</c:formatCode>
                <c:ptCount val="2"/>
                <c:pt idx="0">
                  <c:v>10</c:v>
                </c:pt>
                <c:pt idx="1">
                  <c:v>200</c:v>
                </c:pt>
              </c:numCache>
            </c:numRef>
          </c:xVal>
          <c:yVal>
            <c:numRef>
              <c:f>第1题答案!$J$24:$J$25</c:f>
              <c:numCache>
                <c:formatCode>General</c:formatCode>
                <c:ptCount val="2"/>
                <c:pt idx="0">
                  <c:v>1000</c:v>
                </c:pt>
                <c:pt idx="1">
                  <c:v>20000</c:v>
                </c:pt>
              </c:numCache>
            </c:numRef>
          </c:yVal>
          <c:smooth val="0"/>
        </c:ser>
        <c:ser>
          <c:idx val="2"/>
          <c:order val="2"/>
          <c:tx>
            <c:strRef>
              <c:f>第1题答案!$K$22</c:f>
              <c:strCache>
                <c:ptCount val="1"/>
                <c:pt idx="0">
                  <c:v>利润</c:v>
                </c:pt>
              </c:strCache>
            </c:strRef>
          </c:tx>
          <c:marker>
            <c:symbol val="none"/>
          </c:marker>
          <c:xVal>
            <c:numRef>
              <c:f>第1题答案!$H$24:$H$25</c:f>
              <c:numCache>
                <c:formatCode>General</c:formatCode>
                <c:ptCount val="2"/>
                <c:pt idx="0">
                  <c:v>10</c:v>
                </c:pt>
                <c:pt idx="1">
                  <c:v>200</c:v>
                </c:pt>
              </c:numCache>
            </c:numRef>
          </c:xVal>
          <c:yVal>
            <c:numRef>
              <c:f>第1题答案!$K$24:$K$25</c:f>
              <c:numCache>
                <c:formatCode>General</c:formatCode>
                <c:ptCount val="2"/>
                <c:pt idx="0">
                  <c:v>-180</c:v>
                </c:pt>
                <c:pt idx="1">
                  <c:v>3620</c:v>
                </c:pt>
              </c:numCache>
            </c:numRef>
          </c:yVal>
          <c:smooth val="0"/>
        </c:ser>
        <c:dLbls>
          <c:showLegendKey val="0"/>
          <c:showVal val="0"/>
          <c:showCatName val="0"/>
          <c:showSerName val="0"/>
          <c:showPercent val="0"/>
          <c:showBubbleSize val="0"/>
        </c:dLbls>
        <c:axId val="194733760"/>
        <c:axId val="194734336"/>
      </c:scatterChart>
      <c:valAx>
        <c:axId val="194733760"/>
        <c:scaling>
          <c:orientation val="minMax"/>
          <c:max val="200"/>
          <c:min val="0"/>
        </c:scaling>
        <c:delete val="0"/>
        <c:axPos val="b"/>
        <c:numFmt formatCode="General" sourceLinked="1"/>
        <c:majorTickMark val="out"/>
        <c:minorTickMark val="none"/>
        <c:tickLblPos val="nextTo"/>
        <c:crossAx val="194734336"/>
        <c:crosses val="autoZero"/>
        <c:crossBetween val="midCat"/>
        <c:majorUnit val="20"/>
      </c:valAx>
      <c:valAx>
        <c:axId val="194734336"/>
        <c:scaling>
          <c:orientation val="minMax"/>
        </c:scaling>
        <c:delete val="0"/>
        <c:axPos val="l"/>
        <c:numFmt formatCode="General" sourceLinked="1"/>
        <c:majorTickMark val="out"/>
        <c:minorTickMark val="none"/>
        <c:tickLblPos val="nextTo"/>
        <c:crossAx val="194733760"/>
        <c:crosses val="autoZero"/>
        <c:crossBetween val="midCat"/>
      </c:valAx>
    </c:plotArea>
    <c:legend>
      <c:legendPos val="r"/>
      <c:layout>
        <c:manualLayout>
          <c:xMode val="edge"/>
          <c:yMode val="edge"/>
          <c:x val="0.15"/>
          <c:y val="5.0349956255468079E-2"/>
          <c:w val="0.4861111111111111"/>
          <c:h val="0.13078120443277924"/>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345283502763843"/>
          <c:y val="0.12904132526354062"/>
          <c:w val="0.77503516842099562"/>
          <c:h val="0.71569074679571965"/>
        </c:manualLayout>
      </c:layout>
      <c:scatterChart>
        <c:scatterStyle val="lineMarker"/>
        <c:varyColors val="0"/>
        <c:ser>
          <c:idx val="1"/>
          <c:order val="0"/>
          <c:tx>
            <c:strRef>
              <c:f>第2题答案!$I$2</c:f>
              <c:strCache>
                <c:ptCount val="1"/>
                <c:pt idx="0">
                  <c:v>自制方案</c:v>
                </c:pt>
              </c:strCache>
            </c:strRef>
          </c:tx>
          <c:spPr>
            <a:ln w="25400">
              <a:solidFill>
                <a:srgbClr val="009900"/>
              </a:solidFill>
              <a:prstDash val="solid"/>
            </a:ln>
          </c:spPr>
          <c:marker>
            <c:symbol val="none"/>
          </c:marker>
          <c:xVal>
            <c:numRef>
              <c:f>第2题答案!$G$4:$G$12</c:f>
              <c:numCache>
                <c:formatCode>General</c:formatCode>
                <c:ptCount val="9"/>
                <c:pt idx="0">
                  <c:v>2000</c:v>
                </c:pt>
                <c:pt idx="1">
                  <c:v>2500</c:v>
                </c:pt>
                <c:pt idx="2">
                  <c:v>3000</c:v>
                </c:pt>
                <c:pt idx="3">
                  <c:v>3500</c:v>
                </c:pt>
                <c:pt idx="4">
                  <c:v>4000</c:v>
                </c:pt>
                <c:pt idx="5">
                  <c:v>4500</c:v>
                </c:pt>
                <c:pt idx="6">
                  <c:v>5000</c:v>
                </c:pt>
                <c:pt idx="7">
                  <c:v>5500</c:v>
                </c:pt>
                <c:pt idx="8">
                  <c:v>6000</c:v>
                </c:pt>
              </c:numCache>
            </c:numRef>
          </c:xVal>
          <c:yVal>
            <c:numRef>
              <c:f>第2题答案!$I$4:$I$12</c:f>
              <c:numCache>
                <c:formatCode>General</c:formatCode>
                <c:ptCount val="9"/>
                <c:pt idx="0">
                  <c:v>86000</c:v>
                </c:pt>
                <c:pt idx="1">
                  <c:v>92500</c:v>
                </c:pt>
                <c:pt idx="2">
                  <c:v>99000</c:v>
                </c:pt>
                <c:pt idx="3">
                  <c:v>105500</c:v>
                </c:pt>
                <c:pt idx="4">
                  <c:v>112000</c:v>
                </c:pt>
                <c:pt idx="5">
                  <c:v>118500</c:v>
                </c:pt>
                <c:pt idx="6">
                  <c:v>125000</c:v>
                </c:pt>
                <c:pt idx="7">
                  <c:v>131500</c:v>
                </c:pt>
                <c:pt idx="8">
                  <c:v>138000</c:v>
                </c:pt>
              </c:numCache>
            </c:numRef>
          </c:yVal>
          <c:smooth val="0"/>
        </c:ser>
        <c:ser>
          <c:idx val="0"/>
          <c:order val="1"/>
          <c:tx>
            <c:strRef>
              <c:f>第2题答案!$H$2</c:f>
              <c:strCache>
                <c:ptCount val="1"/>
                <c:pt idx="0">
                  <c:v>外购方案</c:v>
                </c:pt>
              </c:strCache>
            </c:strRef>
          </c:tx>
          <c:spPr>
            <a:ln w="25400">
              <a:solidFill>
                <a:srgbClr val="0000CC"/>
              </a:solidFill>
              <a:prstDash val="solid"/>
            </a:ln>
          </c:spPr>
          <c:marker>
            <c:symbol val="none"/>
          </c:marker>
          <c:xVal>
            <c:numRef>
              <c:f>第2题答案!$G$4:$G$12</c:f>
              <c:numCache>
                <c:formatCode>General</c:formatCode>
                <c:ptCount val="9"/>
                <c:pt idx="0">
                  <c:v>2000</c:v>
                </c:pt>
                <c:pt idx="1">
                  <c:v>2500</c:v>
                </c:pt>
                <c:pt idx="2">
                  <c:v>3000</c:v>
                </c:pt>
                <c:pt idx="3">
                  <c:v>3500</c:v>
                </c:pt>
                <c:pt idx="4">
                  <c:v>4000</c:v>
                </c:pt>
                <c:pt idx="5">
                  <c:v>4500</c:v>
                </c:pt>
                <c:pt idx="6">
                  <c:v>5000</c:v>
                </c:pt>
                <c:pt idx="7">
                  <c:v>5500</c:v>
                </c:pt>
                <c:pt idx="8">
                  <c:v>6000</c:v>
                </c:pt>
              </c:numCache>
            </c:numRef>
          </c:xVal>
          <c:yVal>
            <c:numRef>
              <c:f>第2题答案!$H$4:$H$12</c:f>
              <c:numCache>
                <c:formatCode>General</c:formatCode>
                <c:ptCount val="9"/>
                <c:pt idx="0">
                  <c:v>60000</c:v>
                </c:pt>
                <c:pt idx="1">
                  <c:v>75000</c:v>
                </c:pt>
                <c:pt idx="2">
                  <c:v>90000</c:v>
                </c:pt>
                <c:pt idx="3">
                  <c:v>105000</c:v>
                </c:pt>
                <c:pt idx="4">
                  <c:v>120000</c:v>
                </c:pt>
                <c:pt idx="5">
                  <c:v>135000</c:v>
                </c:pt>
                <c:pt idx="6">
                  <c:v>150000</c:v>
                </c:pt>
                <c:pt idx="7">
                  <c:v>165000</c:v>
                </c:pt>
                <c:pt idx="8">
                  <c:v>180000</c:v>
                </c:pt>
              </c:numCache>
            </c:numRef>
          </c:yVal>
          <c:smooth val="0"/>
        </c:ser>
        <c:ser>
          <c:idx val="2"/>
          <c:order val="2"/>
          <c:spPr>
            <a:ln w="12700" cap="rnd">
              <a:solidFill>
                <a:srgbClr val="0000CC"/>
              </a:solidFill>
              <a:prstDash val="solid"/>
            </a:ln>
          </c:spPr>
          <c:marker>
            <c:symbol val="square"/>
            <c:size val="7"/>
            <c:spPr>
              <a:solidFill>
                <a:srgbClr val="FFFFFF"/>
              </a:solidFill>
              <a:ln w="19050">
                <a:solidFill>
                  <a:srgbClr val="FF0000"/>
                </a:solidFill>
                <a:prstDash val="solid"/>
              </a:ln>
            </c:spPr>
          </c:marker>
          <c:xVal>
            <c:numRef>
              <c:f>第2题答案!$L$4:$L$14</c:f>
              <c:numCache>
                <c:formatCode>0.0</c:formatCode>
                <c:ptCount val="11"/>
                <c:pt idx="0">
                  <c:v>3157.8947368421054</c:v>
                </c:pt>
                <c:pt idx="1">
                  <c:v>3333.3333333333335</c:v>
                </c:pt>
                <c:pt idx="2">
                  <c:v>3529.4117647058824</c:v>
                </c:pt>
                <c:pt idx="3">
                  <c:v>3750</c:v>
                </c:pt>
                <c:pt idx="4">
                  <c:v>4000</c:v>
                </c:pt>
              </c:numCache>
            </c:numRef>
          </c:xVal>
          <c:yVal>
            <c:numRef>
              <c:f>第2题答案!$M$4:$M$14</c:f>
              <c:numCache>
                <c:formatCode>0.0</c:formatCode>
                <c:ptCount val="11"/>
                <c:pt idx="0">
                  <c:v>94736.84210526316</c:v>
                </c:pt>
                <c:pt idx="1">
                  <c:v>100000</c:v>
                </c:pt>
                <c:pt idx="2">
                  <c:v>105882.35294117648</c:v>
                </c:pt>
                <c:pt idx="3">
                  <c:v>112500</c:v>
                </c:pt>
                <c:pt idx="4">
                  <c:v>120000</c:v>
                </c:pt>
              </c:numCache>
            </c:numRef>
          </c:yVal>
          <c:smooth val="0"/>
        </c:ser>
        <c:dLbls>
          <c:showLegendKey val="0"/>
          <c:showVal val="0"/>
          <c:showCatName val="0"/>
          <c:showSerName val="0"/>
          <c:showPercent val="0"/>
          <c:showBubbleSize val="0"/>
        </c:dLbls>
        <c:axId val="194737216"/>
        <c:axId val="194737792"/>
      </c:scatterChart>
      <c:valAx>
        <c:axId val="194737216"/>
        <c:scaling>
          <c:orientation val="minMax"/>
          <c:max val="6000"/>
          <c:min val="2000"/>
        </c:scaling>
        <c:delete val="0"/>
        <c:axPos val="b"/>
        <c:title>
          <c:tx>
            <c:rich>
              <a:bodyPr/>
              <a:lstStyle/>
              <a:p>
                <a:pPr>
                  <a:defRPr/>
                </a:pPr>
                <a:r>
                  <a:rPr lang="zh-CN" altLang="en-US"/>
                  <a:t>需求</a:t>
                </a:r>
                <a:r>
                  <a:rPr lang="zh-CN"/>
                  <a:t>量</a:t>
                </a:r>
              </a:p>
            </c:rich>
          </c:tx>
          <c:layout>
            <c:manualLayout>
              <c:xMode val="edge"/>
              <c:yMode val="edge"/>
              <c:x val="0.8717817981531768"/>
              <c:y val="0.76079419747736265"/>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a:pPr>
            <a:endParaRPr lang="zh-CN"/>
          </a:p>
        </c:txPr>
        <c:crossAx val="194737792"/>
        <c:crosses val="autoZero"/>
        <c:crossBetween val="midCat"/>
        <c:majorUnit val="1000"/>
      </c:valAx>
      <c:valAx>
        <c:axId val="194737792"/>
        <c:scaling>
          <c:orientation val="minMax"/>
          <c:max val="200000"/>
          <c:min val="40000"/>
        </c:scaling>
        <c:delete val="0"/>
        <c:axPos val="l"/>
        <c:title>
          <c:tx>
            <c:rich>
              <a:bodyPr rot="0" vert="horz"/>
              <a:lstStyle/>
              <a:p>
                <a:pPr>
                  <a:defRPr/>
                </a:pPr>
                <a:r>
                  <a:rPr lang="zh-CN"/>
                  <a:t>成本</a:t>
                </a:r>
              </a:p>
            </c:rich>
          </c:tx>
          <c:layout>
            <c:manualLayout>
              <c:xMode val="edge"/>
              <c:yMode val="edge"/>
              <c:x val="0.1165142610811903"/>
              <c:y val="1.9960930110246321E-2"/>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a:pPr>
            <a:endParaRPr lang="zh-CN"/>
          </a:p>
        </c:txPr>
        <c:crossAx val="194737216"/>
        <c:crosses val="autoZero"/>
        <c:crossBetween val="midCat"/>
        <c:majorUnit val="20000"/>
      </c:valAx>
      <c:spPr>
        <a:noFill/>
        <a:ln w="25400">
          <a:noFill/>
        </a:ln>
      </c:spPr>
    </c:plotArea>
    <c:legend>
      <c:legendPos val="r"/>
      <c:legendEntry>
        <c:idx val="2"/>
        <c:delete val="1"/>
      </c:legendEntry>
      <c:layout>
        <c:manualLayout>
          <c:xMode val="edge"/>
          <c:yMode val="edge"/>
          <c:x val="0.18850775669673328"/>
          <c:y val="0.12127095210047617"/>
          <c:w val="0.22068765312859787"/>
          <c:h val="0.16954748963883182"/>
        </c:manualLayout>
      </c:layout>
      <c:overlay val="0"/>
      <c:spPr>
        <a:solidFill>
          <a:srgbClr val="FFFFFF"/>
        </a:solidFill>
        <a:ln w="3175">
          <a:solidFill>
            <a:srgbClr val="000000"/>
          </a:solid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宋体"/>
          <a:ea typeface="宋体"/>
          <a:cs typeface="宋体"/>
        </a:defRPr>
      </a:pPr>
      <a:endParaRPr lang="zh-CN"/>
    </a:p>
  </c:txPr>
  <c:printSettings>
    <c:headerFooter alignWithMargins="0"/>
    <c:pageMargins b="1" l="0.75000000000000122" r="0.750000000000001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年总成本</a:t>
            </a:r>
          </a:p>
        </c:rich>
      </c:tx>
      <c:layout/>
      <c:overlay val="0"/>
      <c:spPr>
        <a:noFill/>
        <a:ln>
          <a:noFill/>
        </a:ln>
        <a:effectLst/>
      </c:spPr>
    </c:title>
    <c:autoTitleDeleted val="0"/>
    <c:plotArea>
      <c:layout/>
      <c:scatterChart>
        <c:scatterStyle val="lineMarker"/>
        <c:varyColors val="0"/>
        <c:ser>
          <c:idx val="0"/>
          <c:order val="0"/>
          <c:spPr>
            <a:ln w="19050" cap="rnd">
              <a:solidFill>
                <a:schemeClr val="accent5"/>
              </a:solidFill>
              <a:round/>
            </a:ln>
            <a:effectLst/>
          </c:spPr>
          <c:marker>
            <c:symbol val="none"/>
          </c:marker>
          <c:xVal>
            <c:numRef>
              <c:f>第3题答案!$L$4:$L$26</c:f>
              <c:numCache>
                <c:formatCode>General</c:formatCode>
                <c:ptCount val="2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14.9999</c:v>
                </c:pt>
                <c:pt idx="15">
                  <c:v>15</c:v>
                </c:pt>
                <c:pt idx="16">
                  <c:v>19.9999</c:v>
                </c:pt>
                <c:pt idx="17">
                  <c:v>20</c:v>
                </c:pt>
                <c:pt idx="18">
                  <c:v>24.9999</c:v>
                </c:pt>
                <c:pt idx="19">
                  <c:v>25</c:v>
                </c:pt>
                <c:pt idx="20">
                  <c:v>29.9999</c:v>
                </c:pt>
                <c:pt idx="21">
                  <c:v>30</c:v>
                </c:pt>
                <c:pt idx="22">
                  <c:v>40</c:v>
                </c:pt>
              </c:numCache>
            </c:numRef>
          </c:xVal>
          <c:yVal>
            <c:numRef>
              <c:f>第3题答案!$M$4:$M$26</c:f>
              <c:numCache>
                <c:formatCode>General</c:formatCode>
                <c:ptCount val="23"/>
                <c:pt idx="0">
                  <c:v>75375</c:v>
                </c:pt>
                <c:pt idx="1">
                  <c:v>50750</c:v>
                </c:pt>
                <c:pt idx="2">
                  <c:v>42791.666666666672</c:v>
                </c:pt>
                <c:pt idx="3">
                  <c:v>39000</c:v>
                </c:pt>
                <c:pt idx="4">
                  <c:v>36875</c:v>
                </c:pt>
                <c:pt idx="5">
                  <c:v>35583.333333333336</c:v>
                </c:pt>
                <c:pt idx="6">
                  <c:v>34767.857142857145</c:v>
                </c:pt>
                <c:pt idx="7">
                  <c:v>34250</c:v>
                </c:pt>
                <c:pt idx="8">
                  <c:v>33930.555555555555</c:v>
                </c:pt>
                <c:pt idx="9">
                  <c:v>33750</c:v>
                </c:pt>
                <c:pt idx="10">
                  <c:v>33670.454545454544</c:v>
                </c:pt>
                <c:pt idx="11">
                  <c:v>33666.666666666672</c:v>
                </c:pt>
                <c:pt idx="12">
                  <c:v>33721.153846153844</c:v>
                </c:pt>
                <c:pt idx="13">
                  <c:v>33821.428571428572</c:v>
                </c:pt>
                <c:pt idx="14">
                  <c:v>33958.318055703705</c:v>
                </c:pt>
                <c:pt idx="15">
                  <c:v>32958.333333333336</c:v>
                </c:pt>
                <c:pt idx="16">
                  <c:v>33999.975000062499</c:v>
                </c:pt>
                <c:pt idx="17">
                  <c:v>33250</c:v>
                </c:pt>
                <c:pt idx="18">
                  <c:v>34624.970500031995</c:v>
                </c:pt>
                <c:pt idx="19">
                  <c:v>33125</c:v>
                </c:pt>
                <c:pt idx="20">
                  <c:v>34666.634722240742</c:v>
                </c:pt>
                <c:pt idx="21">
                  <c:v>33416.666666666664</c:v>
                </c:pt>
                <c:pt idx="22">
                  <c:v>36750</c:v>
                </c:pt>
              </c:numCache>
            </c:numRef>
          </c:yVal>
          <c:smooth val="0"/>
        </c:ser>
        <c:ser>
          <c:idx val="1"/>
          <c:order val="1"/>
          <c:spPr>
            <a:ln w="25400" cap="rnd">
              <a:noFill/>
              <a:round/>
            </a:ln>
            <a:effectLst/>
          </c:spPr>
          <c:marker>
            <c:symbol val="circle"/>
            <c:size val="5"/>
            <c:spPr>
              <a:solidFill>
                <a:srgbClr val="FF0000"/>
              </a:solidFill>
              <a:ln w="9525" cap="sq">
                <a:solidFill>
                  <a:srgbClr val="FF0000"/>
                </a:solidFill>
                <a:round/>
              </a:ln>
              <a:effectLst/>
            </c:spPr>
          </c:marker>
          <c:xVal>
            <c:numRef>
              <c:f>第3题答案!$O$4</c:f>
              <c:numCache>
                <c:formatCode>General</c:formatCode>
                <c:ptCount val="1"/>
                <c:pt idx="0">
                  <c:v>15</c:v>
                </c:pt>
              </c:numCache>
            </c:numRef>
          </c:xVal>
          <c:yVal>
            <c:numRef>
              <c:f>第3题答案!$P$4</c:f>
              <c:numCache>
                <c:formatCode>0.00_ </c:formatCode>
                <c:ptCount val="1"/>
                <c:pt idx="0">
                  <c:v>32958.333333333336</c:v>
                </c:pt>
              </c:numCache>
            </c:numRef>
          </c:yVal>
          <c:smooth val="0"/>
        </c:ser>
        <c:dLbls>
          <c:showLegendKey val="0"/>
          <c:showVal val="0"/>
          <c:showCatName val="0"/>
          <c:showSerName val="0"/>
          <c:showPercent val="0"/>
          <c:showBubbleSize val="0"/>
        </c:dLbls>
        <c:axId val="139112384"/>
        <c:axId val="139112960"/>
      </c:scatterChart>
      <c:valAx>
        <c:axId val="1391123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9112960"/>
        <c:crosses val="autoZero"/>
        <c:crossBetween val="midCat"/>
        <c:majorUnit val="5"/>
        <c:minorUnit val="1"/>
      </c:valAx>
      <c:valAx>
        <c:axId val="139112960"/>
        <c:scaling>
          <c:orientation val="minMax"/>
          <c:max val="45000"/>
          <c:min val="3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9112384"/>
        <c:crosses val="autoZero"/>
        <c:crossBetween val="midCat"/>
        <c:majorUnit val="5000"/>
        <c:minorUnit val="2000"/>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240507436570429"/>
          <c:y val="5.1400554097404488E-2"/>
          <c:w val="0.80362270341207365"/>
          <c:h val="0.73979148439778364"/>
        </c:manualLayout>
      </c:layout>
      <c:scatterChart>
        <c:scatterStyle val="smoothMarker"/>
        <c:varyColors val="0"/>
        <c:ser>
          <c:idx val="0"/>
          <c:order val="0"/>
          <c:tx>
            <c:strRef>
              <c:f>第5题答案!$C$5</c:f>
              <c:strCache>
                <c:ptCount val="1"/>
                <c:pt idx="0">
                  <c:v>项目A</c:v>
                </c:pt>
              </c:strCache>
            </c:strRef>
          </c:tx>
          <c:marker>
            <c:symbol val="none"/>
          </c:marker>
          <c:xVal>
            <c:numRef>
              <c:f>第5题答案!$F$20:$F$39</c:f>
              <c:numCache>
                <c:formatCode>0%</c:formatCode>
                <c:ptCount val="2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numCache>
            </c:numRef>
          </c:xVal>
          <c:yVal>
            <c:numRef>
              <c:f>第5题答案!$G$20:$G$39</c:f>
              <c:numCache>
                <c:formatCode>General</c:formatCode>
                <c:ptCount val="20"/>
                <c:pt idx="0">
                  <c:v>352417.40776315203</c:v>
                </c:pt>
                <c:pt idx="1">
                  <c:v>308432.65056180116</c:v>
                </c:pt>
                <c:pt idx="2">
                  <c:v>267718.25530982448</c:v>
                </c:pt>
                <c:pt idx="3">
                  <c:v>229980.62014195323</c:v>
                </c:pt>
                <c:pt idx="4">
                  <c:v>194956.14362663322</c:v>
                </c:pt>
                <c:pt idx="5">
                  <c:v>162407.8346273232</c:v>
                </c:pt>
                <c:pt idx="6">
                  <c:v>132122.33868393418</c:v>
                </c:pt>
                <c:pt idx="7">
                  <c:v>103907.32590473024</c:v>
                </c:pt>
                <c:pt idx="8">
                  <c:v>77589.193104311125</c:v>
                </c:pt>
                <c:pt idx="9">
                  <c:v>53011.039513421594</c:v>
                </c:pt>
                <c:pt idx="10">
                  <c:v>30030.88100270892</c:v>
                </c:pt>
                <c:pt idx="11">
                  <c:v>8520.0725569780916</c:v>
                </c:pt>
                <c:pt idx="12">
                  <c:v>-11638.087164240831</c:v>
                </c:pt>
                <c:pt idx="13">
                  <c:v>-30549.59183357755</c:v>
                </c:pt>
                <c:pt idx="14">
                  <c:v>-48310.823673119477</c:v>
                </c:pt>
                <c:pt idx="15">
                  <c:v>-65009.526938827534</c:v>
                </c:pt>
                <c:pt idx="16">
                  <c:v>-80725.673503984755</c:v>
                </c:pt>
                <c:pt idx="17">
                  <c:v>-95532.233456802904</c:v>
                </c:pt>
                <c:pt idx="18">
                  <c:v>-109495.86197363428</c:v>
                </c:pt>
                <c:pt idx="19">
                  <c:v>-122677.51230043062</c:v>
                </c:pt>
              </c:numCache>
            </c:numRef>
          </c:yVal>
          <c:smooth val="1"/>
        </c:ser>
        <c:ser>
          <c:idx val="1"/>
          <c:order val="1"/>
          <c:tx>
            <c:strRef>
              <c:f>第5题答案!$D$5</c:f>
              <c:strCache>
                <c:ptCount val="1"/>
                <c:pt idx="0">
                  <c:v>项目B</c:v>
                </c:pt>
              </c:strCache>
            </c:strRef>
          </c:tx>
          <c:marker>
            <c:symbol val="none"/>
          </c:marker>
          <c:xVal>
            <c:numRef>
              <c:f>第5题答案!$F$20:$F$39</c:f>
              <c:numCache>
                <c:formatCode>0%</c:formatCode>
                <c:ptCount val="20"/>
                <c:pt idx="0">
                  <c:v>0.01</c:v>
                </c:pt>
                <c:pt idx="1">
                  <c:v>0.02</c:v>
                </c:pt>
                <c:pt idx="2">
                  <c:v>0.03</c:v>
                </c:pt>
                <c:pt idx="3">
                  <c:v>0.04</c:v>
                </c:pt>
                <c:pt idx="4">
                  <c:v>0.05</c:v>
                </c:pt>
                <c:pt idx="5">
                  <c:v>0.06</c:v>
                </c:pt>
                <c:pt idx="6">
                  <c:v>7.0000000000000007E-2</c:v>
                </c:pt>
                <c:pt idx="7">
                  <c:v>0.08</c:v>
                </c:pt>
                <c:pt idx="8">
                  <c:v>0.09</c:v>
                </c:pt>
                <c:pt idx="9">
                  <c:v>0.1</c:v>
                </c:pt>
                <c:pt idx="10">
                  <c:v>0.11</c:v>
                </c:pt>
                <c:pt idx="11">
                  <c:v>0.12</c:v>
                </c:pt>
                <c:pt idx="12">
                  <c:v>0.13</c:v>
                </c:pt>
                <c:pt idx="13">
                  <c:v>0.14000000000000001</c:v>
                </c:pt>
                <c:pt idx="14">
                  <c:v>0.15</c:v>
                </c:pt>
                <c:pt idx="15">
                  <c:v>0.16</c:v>
                </c:pt>
                <c:pt idx="16">
                  <c:v>0.17</c:v>
                </c:pt>
                <c:pt idx="17">
                  <c:v>0.18</c:v>
                </c:pt>
                <c:pt idx="18">
                  <c:v>0.19</c:v>
                </c:pt>
                <c:pt idx="19">
                  <c:v>0.2</c:v>
                </c:pt>
              </c:numCache>
            </c:numRef>
          </c:xVal>
          <c:yVal>
            <c:numRef>
              <c:f>第5题答案!$H$20:$H$39</c:f>
              <c:numCache>
                <c:formatCode>General</c:formatCode>
                <c:ptCount val="20"/>
                <c:pt idx="0">
                  <c:v>767401.73657017644</c:v>
                </c:pt>
                <c:pt idx="1">
                  <c:v>648487.61982521741</c:v>
                </c:pt>
                <c:pt idx="2">
                  <c:v>541731.48085541523</c:v>
                </c:pt>
                <c:pt idx="3">
                  <c:v>445789.83635611797</c:v>
                </c:pt>
                <c:pt idx="4">
                  <c:v>359478.55495706305</c:v>
                </c:pt>
                <c:pt idx="5">
                  <c:v>281752.68768116506</c:v>
                </c:pt>
                <c:pt idx="6">
                  <c:v>211689.00898860488</c:v>
                </c:pt>
                <c:pt idx="7">
                  <c:v>148470.88331855799</c:v>
                </c:pt>
                <c:pt idx="8">
                  <c:v>91375.129653964541</c:v>
                </c:pt>
                <c:pt idx="9">
                  <c:v>39760.605201344006</c:v>
                </c:pt>
                <c:pt idx="10">
                  <c:v>-6941.7297157463036</c:v>
                </c:pt>
                <c:pt idx="11">
                  <c:v>-49237.468773025612</c:v>
                </c:pt>
                <c:pt idx="12">
                  <c:v>-87576.312623424281</c:v>
                </c:pt>
                <c:pt idx="13">
                  <c:v>-122358.66667354223</c:v>
                </c:pt>
                <c:pt idx="14">
                  <c:v>-153941.41142938781</c:v>
                </c:pt>
                <c:pt idx="15">
                  <c:v>-182642.9551744737</c:v>
                </c:pt>
                <c:pt idx="16">
                  <c:v>-208747.66340057377</c:v>
                </c:pt>
                <c:pt idx="17">
                  <c:v>-232509.74632095179</c:v>
                </c:pt>
                <c:pt idx="18">
                  <c:v>-254156.67461125882</c:v>
                </c:pt>
                <c:pt idx="19">
                  <c:v>-273892.18395421596</c:v>
                </c:pt>
              </c:numCache>
            </c:numRef>
          </c:yVal>
          <c:smooth val="1"/>
        </c:ser>
        <c:dLbls>
          <c:showLegendKey val="0"/>
          <c:showVal val="0"/>
          <c:showCatName val="0"/>
          <c:showSerName val="0"/>
          <c:showPercent val="0"/>
          <c:showBubbleSize val="0"/>
        </c:dLbls>
        <c:axId val="174391296"/>
        <c:axId val="174391872"/>
      </c:scatterChart>
      <c:valAx>
        <c:axId val="174391296"/>
        <c:scaling>
          <c:orientation val="minMax"/>
          <c:max val="0.2"/>
          <c:min val="0"/>
        </c:scaling>
        <c:delete val="0"/>
        <c:axPos val="b"/>
        <c:title>
          <c:tx>
            <c:rich>
              <a:bodyPr/>
              <a:lstStyle/>
              <a:p>
                <a:pPr>
                  <a:defRPr/>
                </a:pPr>
                <a:r>
                  <a:rPr lang="zh-CN" altLang="en-US"/>
                  <a:t>贴现率</a:t>
                </a:r>
              </a:p>
            </c:rich>
          </c:tx>
          <c:layout>
            <c:manualLayout>
              <c:xMode val="edge"/>
              <c:yMode val="edge"/>
              <c:x val="0.87738298337707799"/>
              <c:y val="0.47637722368037327"/>
            </c:manualLayout>
          </c:layout>
          <c:overlay val="0"/>
        </c:title>
        <c:numFmt formatCode="0%" sourceLinked="1"/>
        <c:majorTickMark val="out"/>
        <c:minorTickMark val="none"/>
        <c:tickLblPos val="nextTo"/>
        <c:crossAx val="174391872"/>
        <c:crosses val="autoZero"/>
        <c:crossBetween val="midCat"/>
        <c:majorUnit val="5.000000000000001E-2"/>
      </c:valAx>
      <c:valAx>
        <c:axId val="174391872"/>
        <c:scaling>
          <c:orientation val="minMax"/>
          <c:max val="1000000"/>
          <c:min val="-400000"/>
        </c:scaling>
        <c:delete val="0"/>
        <c:axPos val="l"/>
        <c:title>
          <c:tx>
            <c:rich>
              <a:bodyPr rot="0" vert="wordArtVertRtl"/>
              <a:lstStyle/>
              <a:p>
                <a:pPr>
                  <a:defRPr/>
                </a:pPr>
                <a:r>
                  <a:rPr lang="zh-CN" altLang="en-US"/>
                  <a:t>净现值</a:t>
                </a:r>
              </a:p>
            </c:rich>
          </c:tx>
          <c:layout>
            <c:manualLayout>
              <c:xMode val="edge"/>
              <c:yMode val="edge"/>
              <c:x val="0.16666666666666666"/>
              <c:y val="1.7789078448527267E-2"/>
            </c:manualLayout>
          </c:layout>
          <c:overlay val="0"/>
        </c:title>
        <c:numFmt formatCode="General" sourceLinked="1"/>
        <c:majorTickMark val="out"/>
        <c:minorTickMark val="none"/>
        <c:tickLblPos val="nextTo"/>
        <c:crossAx val="174391296"/>
        <c:crosses val="autoZero"/>
        <c:crossBetween val="midCat"/>
        <c:majorUnit val="200000"/>
      </c:valAx>
    </c:plotArea>
    <c:legend>
      <c:legendPos val="r"/>
      <c:layout>
        <c:manualLayout>
          <c:xMode val="edge"/>
          <c:yMode val="edge"/>
          <c:x val="0.22004155730533681"/>
          <c:y val="0.83757910469524643"/>
          <c:w val="0.53829177602799649"/>
          <c:h val="8.8730679498396026E-2"/>
        </c:manualLayout>
      </c:layout>
      <c:overlay val="0"/>
    </c:legend>
    <c:plotVisOnly val="1"/>
    <c:dispBlanksAs val="gap"/>
    <c:showDLblsOverMax val="0"/>
  </c:chart>
  <c:printSettings>
    <c:headerFooter/>
    <c:pageMargins b="0.75" l="0.7" r="0.7" t="0.75" header="0.3" footer="0.3"/>
    <c:pageSetup/>
  </c:printSettings>
</c:chartSpace>
</file>

<file path=xl/ctrlProps/ctrlProp1.xml><?xml version="1.0" encoding="utf-8"?>
<formControlPr xmlns="http://schemas.microsoft.com/office/spreadsheetml/2009/9/main" objectType="Spin" dx="16" fmlaLink="$D$9" max="15" min="11" page="10" val="13"/>
</file>

<file path=xl/ctrlProps/ctrlProp2.xml><?xml version="1.0" encoding="utf-8"?>
<formControlPr xmlns="http://schemas.microsoft.com/office/spreadsheetml/2009/9/main" objectType="Spin" dx="17" fmlaLink="#REF!" max="10" page="10" val="10"/>
</file>

<file path=xl/ctrlProps/ctrlProp3.xml><?xml version="1.0" encoding="utf-8"?>
<formControlPr xmlns="http://schemas.microsoft.com/office/spreadsheetml/2009/9/main" objectType="Spin" dx="22" fmlaLink="$D$7" max="40" min="3" page="10" val="15"/>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15</xdr:col>
      <xdr:colOff>428625</xdr:colOff>
      <xdr:row>21</xdr:row>
      <xdr:rowOff>0</xdr:rowOff>
    </xdr:to>
    <xdr:grpSp>
      <xdr:nvGrpSpPr>
        <xdr:cNvPr id="2" name="组合 1"/>
        <xdr:cNvGrpSpPr/>
      </xdr:nvGrpSpPr>
      <xdr:grpSpPr>
        <a:xfrm>
          <a:off x="4886325" y="0"/>
          <a:ext cx="5229225" cy="3638550"/>
          <a:chOff x="381000" y="3800475"/>
          <a:chExt cx="5229225" cy="3543300"/>
        </a:xfrm>
      </xdr:grpSpPr>
      <xdr:sp macro="" textlink="">
        <xdr:nvSpPr>
          <xdr:cNvPr id="3" name="TextBox 2"/>
          <xdr:cNvSpPr txBox="1"/>
        </xdr:nvSpPr>
        <xdr:spPr>
          <a:xfrm>
            <a:off x="381000" y="3800475"/>
            <a:ext cx="5229225" cy="3543300"/>
          </a:xfrm>
          <a:prstGeom prst="rect">
            <a:avLst/>
          </a:prstGeom>
          <a:solidFill>
            <a:srgbClr val="CC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b="1"/>
              <a:t>第</a:t>
            </a:r>
            <a:r>
              <a:rPr lang="en-US" altLang="zh-CN" sz="1100" b="1"/>
              <a:t>1</a:t>
            </a:r>
            <a:r>
              <a:rPr lang="zh-CN" altLang="en-US" sz="1100" b="1"/>
              <a:t>题</a:t>
            </a:r>
            <a:r>
              <a:rPr lang="en-US" altLang="zh-CN" sz="1100" b="1"/>
              <a:t>(10</a:t>
            </a:r>
            <a:r>
              <a:rPr lang="zh-CN" altLang="en-US" sz="1100" b="1"/>
              <a:t>分</a:t>
            </a:r>
            <a:r>
              <a:rPr lang="en-US" altLang="zh-CN" sz="1100" b="1"/>
              <a:t>) </a:t>
            </a:r>
            <a:r>
              <a:rPr lang="zh-CN" altLang="en-US">
                <a:effectLst/>
              </a:rPr>
              <a:t>某项目设计生产能力为年产</a:t>
            </a:r>
            <a:r>
              <a:rPr lang="en-US" altLang="zh-CN">
                <a:effectLst/>
              </a:rPr>
              <a:t>60</a:t>
            </a:r>
            <a:r>
              <a:rPr lang="zh-CN" altLang="en-US">
                <a:effectLst/>
              </a:rPr>
              <a:t>万件产品，预计单位产品价格为</a:t>
            </a:r>
            <a:r>
              <a:rPr lang="en-US" altLang="zh-CN">
                <a:effectLst/>
              </a:rPr>
              <a:t>100</a:t>
            </a:r>
            <a:r>
              <a:rPr lang="zh-CN" altLang="en-US">
                <a:effectLst/>
              </a:rPr>
              <a:t>元，单位产品可变成本为</a:t>
            </a:r>
            <a:r>
              <a:rPr lang="en-US" altLang="zh-CN">
                <a:effectLst/>
              </a:rPr>
              <a:t>75</a:t>
            </a:r>
            <a:r>
              <a:rPr lang="zh-CN" altLang="en-US">
                <a:effectLst/>
              </a:rPr>
              <a:t>元，年固定成本为</a:t>
            </a:r>
            <a:r>
              <a:rPr lang="en-US" altLang="zh-CN">
                <a:effectLst/>
              </a:rPr>
              <a:t>380</a:t>
            </a:r>
            <a:r>
              <a:rPr lang="zh-CN" altLang="en-US">
                <a:effectLst/>
              </a:rPr>
              <a:t>万元。若该产品的销售税金及附加的合并税</a:t>
            </a:r>
            <a:r>
              <a:rPr lang="zh-CN" altLang="en-US" sz="1100">
                <a:solidFill>
                  <a:schemeClr val="dk1"/>
                </a:solidFill>
                <a:effectLst/>
                <a:latin typeface="+mn-lt"/>
                <a:ea typeface="+mn-ea"/>
                <a:cs typeface="+mn-cs"/>
              </a:rPr>
              <a:t>率为</a:t>
            </a:r>
            <a:r>
              <a:rPr lang="en-US" altLang="zh-CN">
                <a:effectLst/>
              </a:rPr>
              <a:t>5%</a:t>
            </a:r>
            <a:r>
              <a:rPr lang="zh-CN" altLang="en-US" sz="1100"/>
              <a:t>，要求：</a:t>
            </a:r>
            <a:endParaRPr lang="en-US" altLang="zh-CN" sz="1100"/>
          </a:p>
          <a:p>
            <a:r>
              <a:rPr lang="en-US" altLang="zh-CN" sz="1100"/>
              <a:t>1</a:t>
            </a:r>
            <a:r>
              <a:rPr lang="zh-CN" altLang="en-US" sz="1100"/>
              <a:t>、计算该项目的总成本、销售收益及利润；</a:t>
            </a:r>
            <a:endParaRPr lang="en-US" altLang="zh-CN" sz="1100"/>
          </a:p>
          <a:p>
            <a:r>
              <a:rPr lang="en-US" altLang="zh-CN" sz="1100"/>
              <a:t>2</a:t>
            </a:r>
            <a:r>
              <a:rPr lang="zh-CN" altLang="en-US" sz="1100"/>
              <a:t>、计算盈亏平衡销量以及盈亏平衡销售收益；</a:t>
            </a:r>
            <a:endParaRPr lang="en-US" altLang="zh-CN" sz="1100"/>
          </a:p>
          <a:p>
            <a:r>
              <a:rPr lang="en-US" altLang="zh-CN" sz="1100"/>
              <a:t>2</a:t>
            </a:r>
            <a:r>
              <a:rPr lang="zh-CN" altLang="en-US" sz="1100"/>
              <a:t>、画出本</a:t>
            </a:r>
            <a:r>
              <a:rPr lang="en-US" altLang="zh-CN" sz="1100"/>
              <a:t>-</a:t>
            </a:r>
            <a:r>
              <a:rPr lang="zh-CN" altLang="en-US" sz="1100"/>
              <a:t>量</a:t>
            </a:r>
            <a:r>
              <a:rPr lang="en-US" altLang="zh-CN" sz="1100"/>
              <a:t>-</a:t>
            </a:r>
            <a:r>
              <a:rPr lang="zh-CN" altLang="en-US" sz="1100"/>
              <a:t>利图形。</a:t>
            </a: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599" y="5010150"/>
            <a:ext cx="4772025" cy="226695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9</xdr:col>
      <xdr:colOff>676275</xdr:colOff>
      <xdr:row>21</xdr:row>
      <xdr:rowOff>100012</xdr:rowOff>
    </xdr:from>
    <xdr:to>
      <xdr:col>16</xdr:col>
      <xdr:colOff>447675</xdr:colOff>
      <xdr:row>37</xdr:row>
      <xdr:rowOff>100012</xdr:rowOff>
    </xdr:to>
    <xdr:graphicFrame macro="">
      <xdr:nvGraphicFramePr>
        <xdr:cNvPr id="5" name="图表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14</xdr:row>
      <xdr:rowOff>180977</xdr:rowOff>
    </xdr:from>
    <xdr:to>
      <xdr:col>7</xdr:col>
      <xdr:colOff>914400</xdr:colOff>
      <xdr:row>27</xdr:row>
      <xdr:rowOff>66676</xdr:rowOff>
    </xdr:to>
    <xdr:graphicFrame macro="">
      <xdr:nvGraphicFramePr>
        <xdr:cNvPr id="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876297</xdr:colOff>
      <xdr:row>16</xdr:row>
      <xdr:rowOff>49364</xdr:rowOff>
    </xdr:from>
    <xdr:to>
      <xdr:col>7</xdr:col>
      <xdr:colOff>371475</xdr:colOff>
      <xdr:row>17</xdr:row>
      <xdr:rowOff>83151</xdr:rowOff>
    </xdr:to>
    <xdr:grpSp>
      <xdr:nvGrpSpPr>
        <xdr:cNvPr id="3" name="Group 4"/>
        <xdr:cNvGrpSpPr>
          <a:grpSpLocks/>
        </xdr:cNvGrpSpPr>
      </xdr:nvGrpSpPr>
      <xdr:grpSpPr bwMode="auto">
        <a:xfrm>
          <a:off x="2724147" y="3859364"/>
          <a:ext cx="1847853" cy="271912"/>
          <a:chOff x="328" y="303"/>
          <a:chExt cx="199" cy="28"/>
        </a:xfrm>
      </xdr:grpSpPr>
      <xdr:sp macro="" textlink="">
        <xdr:nvSpPr>
          <xdr:cNvPr id="4" name="Text Box 6"/>
          <xdr:cNvSpPr txBox="1">
            <a:spLocks noChangeArrowheads="1"/>
          </xdr:cNvSpPr>
        </xdr:nvSpPr>
        <xdr:spPr bwMode="auto">
          <a:xfrm>
            <a:off x="328" y="303"/>
            <a:ext cx="159" cy="28"/>
          </a:xfrm>
          <a:prstGeom prst="rect">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1">
              <a:defRPr sz="1000"/>
            </a:pPr>
            <a:r>
              <a:rPr lang="zh-CN" altLang="en-US" sz="1100" b="0" i="0" strike="noStrike">
                <a:solidFill>
                  <a:srgbClr val="000000"/>
                </a:solidFill>
                <a:latin typeface="Arial"/>
                <a:cs typeface="Arial"/>
              </a:rPr>
              <a:t>单位可变成本</a:t>
            </a:r>
            <a:r>
              <a:rPr lang="en-US" altLang="zh-CN" sz="1100" b="0" i="0" strike="noStrike">
                <a:solidFill>
                  <a:srgbClr val="000000"/>
                </a:solidFill>
                <a:latin typeface="Arial"/>
                <a:cs typeface="Arial"/>
              </a:rPr>
              <a:t>=</a:t>
            </a:r>
          </a:p>
        </xdr:txBody>
      </xdr:sp>
      <xdr:sp macro="" textlink="$D$9">
        <xdr:nvSpPr>
          <xdr:cNvPr id="5" name="Text Box 7"/>
          <xdr:cNvSpPr txBox="1">
            <a:spLocks noChangeArrowheads="1" noTextEdit="1"/>
          </xdr:cNvSpPr>
        </xdr:nvSpPr>
        <xdr:spPr bwMode="auto">
          <a:xfrm>
            <a:off x="487" y="303"/>
            <a:ext cx="40" cy="28"/>
          </a:xfrm>
          <a:prstGeom prst="rect">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27432" bIns="18288" anchor="ctr" upright="1"/>
          <a:lstStyle/>
          <a:p>
            <a:pPr algn="ctr" rtl="1">
              <a:defRPr sz="1000"/>
            </a:pPr>
            <a:fld id="{6A62A862-0C62-4A78-AB54-03E3250307D3}" type="TxLink">
              <a:rPr lang="en-US" altLang="en-US" sz="1100" b="0" i="0" u="none" strike="noStrike">
                <a:solidFill>
                  <a:srgbClr val="000000"/>
                </a:solidFill>
                <a:latin typeface="宋体"/>
                <a:ea typeface="宋体"/>
              </a:rPr>
              <a:pPr algn="ctr" rtl="1">
                <a:defRPr sz="1000"/>
              </a:pPr>
              <a:t>13</a:t>
            </a:fld>
            <a:endParaRPr lang="en-US" altLang="zh-CN" sz="1100" b="0" i="0" strike="noStrike">
              <a:solidFill>
                <a:srgbClr val="000000"/>
              </a:solidFill>
              <a:latin typeface="宋体"/>
              <a:ea typeface="宋体"/>
            </a:endParaRPr>
          </a:p>
        </xdr:txBody>
      </xdr:sp>
    </xdr:grpSp>
    <xdr:clientData/>
  </xdr:twoCellAnchor>
  <xdr:twoCellAnchor>
    <xdr:from>
      <xdr:col>11</xdr:col>
      <xdr:colOff>85725</xdr:colOff>
      <xdr:row>15</xdr:row>
      <xdr:rowOff>200025</xdr:rowOff>
    </xdr:from>
    <xdr:to>
      <xdr:col>17</xdr:col>
      <xdr:colOff>409575</xdr:colOff>
      <xdr:row>28</xdr:row>
      <xdr:rowOff>161925</xdr:rowOff>
    </xdr:to>
    <xdr:pic>
      <xdr:nvPicPr>
        <xdr:cNvPr id="8"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7219950" y="3771900"/>
          <a:ext cx="4676775" cy="3057525"/>
        </a:xfrm>
        <a:prstGeom prst="rect">
          <a:avLst/>
        </a:prstGeom>
        <a:noFill/>
        <a:ln w="1">
          <a:noFill/>
          <a:miter lim="800000"/>
          <a:headEnd/>
          <a:tailEnd type="none" w="med" len="med"/>
        </a:ln>
        <a:effectLst/>
      </xdr:spPr>
    </xdr:pic>
    <xdr:clientData/>
  </xdr:twoCellAnchor>
  <mc:AlternateContent xmlns:mc="http://schemas.openxmlformats.org/markup-compatibility/2006">
    <mc:Choice xmlns:a14="http://schemas.microsoft.com/office/drawing/2010/main" Requires="a14">
      <xdr:twoCellAnchor>
        <xdr:from>
          <xdr:col>3</xdr:col>
          <xdr:colOff>628650</xdr:colOff>
          <xdr:row>16</xdr:row>
          <xdr:rowOff>47625</xdr:rowOff>
        </xdr:from>
        <xdr:to>
          <xdr:col>3</xdr:col>
          <xdr:colOff>857250</xdr:colOff>
          <xdr:row>17</xdr:row>
          <xdr:rowOff>95250</xdr:rowOff>
        </xdr:to>
        <xdr:sp macro="" textlink="">
          <xdr:nvSpPr>
            <xdr:cNvPr id="6145" name="Spinner 1" hidden="1">
              <a:extLst>
                <a:ext uri="{63B3BB69-23CF-44E3-9099-C40C66FF867C}">
                  <a14:compatExt spid="_x0000_s6145"/>
                </a:ext>
              </a:extLst>
            </xdr:cNvPr>
            <xdr:cNvSpPr/>
          </xdr:nvSpPr>
          <xdr:spPr>
            <a:xfrm>
              <a:off x="0" y="0"/>
              <a:ext cx="0" cy="0"/>
            </a:xfrm>
            <a:prstGeom prst="rect">
              <a:avLst/>
            </a:prstGeom>
          </xdr:spPr>
        </xdr:sp>
        <xdr:clientData/>
      </xdr:twoCellAnchor>
    </mc:Choice>
    <mc:Fallback/>
  </mc:AlternateContent>
  <xdr:twoCellAnchor>
    <xdr:from>
      <xdr:col>8</xdr:col>
      <xdr:colOff>266700</xdr:colOff>
      <xdr:row>12</xdr:row>
      <xdr:rowOff>161925</xdr:rowOff>
    </xdr:from>
    <xdr:to>
      <xdr:col>17</xdr:col>
      <xdr:colOff>561975</xdr:colOff>
      <xdr:row>29</xdr:row>
      <xdr:rowOff>230257</xdr:rowOff>
    </xdr:to>
    <xdr:sp macro="" textlink="">
      <xdr:nvSpPr>
        <xdr:cNvPr id="12" name="Text Box 9"/>
        <xdr:cNvSpPr txBox="1">
          <a:spLocks noChangeArrowheads="1"/>
        </xdr:cNvSpPr>
      </xdr:nvSpPr>
      <xdr:spPr bwMode="auto">
        <a:xfrm>
          <a:off x="5467350" y="3019425"/>
          <a:ext cx="6581775" cy="4116457"/>
        </a:xfrm>
        <a:prstGeom prst="rect">
          <a:avLst/>
        </a:prstGeom>
        <a:solidFill>
          <a:srgbClr val="CCFFFF"/>
        </a:solidFill>
        <a:ln w="9525">
          <a:solidFill>
            <a:srgbClr val="000000"/>
          </a:solidFill>
          <a:miter lim="800000"/>
          <a:headEnd/>
          <a:tailEnd/>
        </a:ln>
      </xdr:spPr>
      <xdr:txBody>
        <a:bodyPr vertOverflow="clip" wrap="square" lIns="90000" tIns="46800" rIns="90000" bIns="46800" anchor="t" upright="1"/>
        <a:lstStyle/>
        <a:p>
          <a:pPr algn="l" rtl="0">
            <a:defRPr sz="1000"/>
          </a:pPr>
          <a:r>
            <a:rPr lang="zh-CN" altLang="en-US" sz="1050" b="1" i="0" u="none" strike="noStrike" baseline="0">
              <a:solidFill>
                <a:srgbClr val="000000"/>
              </a:solidFill>
              <a:latin typeface="宋体"/>
              <a:ea typeface="宋体"/>
            </a:rPr>
            <a:t>第</a:t>
          </a:r>
          <a:r>
            <a:rPr lang="en-US" altLang="zh-CN" sz="1050" b="1" i="0" u="none" strike="noStrike" baseline="0">
              <a:solidFill>
                <a:srgbClr val="000000"/>
              </a:solidFill>
              <a:latin typeface="宋体"/>
              <a:ea typeface="宋体"/>
            </a:rPr>
            <a:t>2</a:t>
          </a:r>
          <a:r>
            <a:rPr lang="zh-CN" altLang="en-US" sz="1050" b="1" i="0" u="none" strike="noStrike" baseline="0">
              <a:solidFill>
                <a:srgbClr val="000000"/>
              </a:solidFill>
              <a:latin typeface="宋体"/>
              <a:ea typeface="宋体"/>
            </a:rPr>
            <a:t>题（</a:t>
          </a:r>
          <a:r>
            <a:rPr lang="en-US" altLang="zh-CN" sz="1050" b="1" i="0" u="none" strike="noStrike" baseline="0">
              <a:solidFill>
                <a:srgbClr val="000000"/>
              </a:solidFill>
              <a:latin typeface="宋体"/>
              <a:ea typeface="宋体"/>
            </a:rPr>
            <a:t>10</a:t>
          </a:r>
          <a:r>
            <a:rPr lang="zh-CN" altLang="en-US" sz="1050" b="1" i="0" u="none" strike="noStrike" baseline="0">
              <a:solidFill>
                <a:srgbClr val="000000"/>
              </a:solidFill>
              <a:latin typeface="宋体"/>
              <a:ea typeface="宋体"/>
            </a:rPr>
            <a:t>）</a:t>
          </a:r>
          <a:r>
            <a:rPr lang="zh-CN" altLang="en-US" sz="1050" b="0" i="0" u="none" strike="noStrike" baseline="0">
              <a:solidFill>
                <a:srgbClr val="000000"/>
              </a:solidFill>
              <a:latin typeface="宋体"/>
              <a:ea typeface="宋体"/>
            </a:rPr>
            <a:t>某公司需要一种零件</a:t>
          </a:r>
          <a:r>
            <a:rPr lang="en-US" altLang="zh-CN" sz="1050" b="0" i="0" u="none" strike="noStrike" baseline="0">
              <a:solidFill>
                <a:srgbClr val="000000"/>
              </a:solidFill>
              <a:latin typeface="宋体"/>
              <a:ea typeface="宋体"/>
            </a:rPr>
            <a:t>,</a:t>
          </a:r>
          <a:r>
            <a:rPr lang="zh-CN" altLang="en-US" sz="1050" b="0" i="0" u="none" strike="noStrike" baseline="0">
              <a:solidFill>
                <a:srgbClr val="000000"/>
              </a:solidFill>
              <a:latin typeface="宋体"/>
              <a:ea typeface="宋体"/>
            </a:rPr>
            <a:t>有自制和外购两种方案可供选择。如果外购的话，单价为</a:t>
          </a:r>
          <a:r>
            <a:rPr lang="en-US" altLang="zh-CN" sz="1050" b="0" i="0" u="none" strike="noStrike" baseline="0">
              <a:solidFill>
                <a:srgbClr val="000000"/>
              </a:solidFill>
              <a:latin typeface="宋体"/>
              <a:ea typeface="宋体"/>
            </a:rPr>
            <a:t>30</a:t>
          </a:r>
          <a:r>
            <a:rPr lang="zh-CN" altLang="en-US" sz="1050" b="0" i="0" u="none" strike="noStrike" baseline="0">
              <a:solidFill>
                <a:srgbClr val="000000"/>
              </a:solidFill>
              <a:latin typeface="宋体"/>
              <a:ea typeface="宋体"/>
            </a:rPr>
            <a:t>元</a:t>
          </a:r>
          <a:r>
            <a:rPr lang="en-US" altLang="zh-CN" sz="1050" b="0" i="0" u="none" strike="noStrike" baseline="0">
              <a:solidFill>
                <a:srgbClr val="000000"/>
              </a:solidFill>
              <a:latin typeface="宋体"/>
              <a:ea typeface="宋体"/>
            </a:rPr>
            <a:t>/</a:t>
          </a:r>
          <a:r>
            <a:rPr lang="zh-CN" altLang="en-US" sz="1050" b="0" i="0" u="none" strike="noStrike" baseline="0">
              <a:solidFill>
                <a:srgbClr val="000000"/>
              </a:solidFill>
              <a:latin typeface="宋体"/>
              <a:ea typeface="宋体"/>
            </a:rPr>
            <a:t>件；如果自制的话，需投入固定成本为</a:t>
          </a:r>
          <a:r>
            <a:rPr lang="en-US" altLang="zh-CN" sz="1050" b="0" i="0" u="none" strike="noStrike" baseline="0">
              <a:solidFill>
                <a:srgbClr val="000000"/>
              </a:solidFill>
              <a:latin typeface="宋体"/>
              <a:ea typeface="宋体"/>
            </a:rPr>
            <a:t>60000</a:t>
          </a:r>
          <a:r>
            <a:rPr lang="zh-CN" altLang="en-US" sz="1050" b="0" i="0" u="none" strike="noStrike" baseline="0">
              <a:solidFill>
                <a:srgbClr val="000000"/>
              </a:solidFill>
              <a:latin typeface="宋体"/>
              <a:ea typeface="宋体"/>
            </a:rPr>
            <a:t>元，当前单位可变成本为</a:t>
          </a:r>
          <a:r>
            <a:rPr lang="en-US" altLang="zh-CN" sz="1050" b="0" i="0" u="none" strike="noStrike" baseline="0">
              <a:solidFill>
                <a:srgbClr val="000000"/>
              </a:solidFill>
              <a:latin typeface="宋体"/>
              <a:ea typeface="宋体"/>
            </a:rPr>
            <a:t>13</a:t>
          </a:r>
          <a:r>
            <a:rPr lang="zh-CN" altLang="en-US" sz="1050" b="0" i="0" u="none" strike="noStrike" baseline="0">
              <a:solidFill>
                <a:srgbClr val="000000"/>
              </a:solidFill>
              <a:latin typeface="宋体"/>
              <a:ea typeface="宋体"/>
            </a:rPr>
            <a:t>元</a:t>
          </a:r>
          <a:r>
            <a:rPr lang="en-US" altLang="zh-CN" sz="1050" b="0" i="0" u="none" strike="noStrike" baseline="0">
              <a:solidFill>
                <a:srgbClr val="000000"/>
              </a:solidFill>
              <a:latin typeface="宋体"/>
              <a:ea typeface="宋体"/>
            </a:rPr>
            <a:t>/</a:t>
          </a:r>
          <a:r>
            <a:rPr lang="zh-CN" altLang="en-US" sz="1050" b="0" i="0" u="none" strike="noStrike" baseline="0">
              <a:solidFill>
                <a:srgbClr val="000000"/>
              </a:solidFill>
              <a:latin typeface="宋体"/>
              <a:ea typeface="宋体"/>
            </a:rPr>
            <a:t>件。假设零件的需求量为</a:t>
          </a:r>
          <a:r>
            <a:rPr lang="en-US" altLang="zh-CN" sz="1050" b="0" i="0" u="none" strike="noStrike" baseline="0">
              <a:solidFill>
                <a:srgbClr val="000000"/>
              </a:solidFill>
              <a:latin typeface="宋体"/>
              <a:ea typeface="宋体"/>
            </a:rPr>
            <a:t>3000</a:t>
          </a:r>
          <a:r>
            <a:rPr lang="zh-CN" altLang="en-US" sz="1050" b="0" i="0" u="none" strike="noStrike" baseline="0">
              <a:solidFill>
                <a:srgbClr val="000000"/>
              </a:solidFill>
              <a:latin typeface="宋体"/>
              <a:ea typeface="宋体"/>
            </a:rPr>
            <a:t>时，试在本工作表中完成如下操作：</a:t>
          </a:r>
        </a:p>
        <a:p>
          <a:pPr algn="l" rtl="0">
            <a:defRPr sz="1000"/>
          </a:pPr>
          <a:r>
            <a:rPr lang="en-US" altLang="zh-CN" sz="1050" b="0" i="0" u="none" strike="noStrike" baseline="0">
              <a:solidFill>
                <a:srgbClr val="000000"/>
              </a:solidFill>
              <a:latin typeface="宋体"/>
              <a:ea typeface="宋体"/>
            </a:rPr>
            <a:t>1</a:t>
          </a:r>
          <a:r>
            <a:rPr lang="zh-CN" altLang="en-US" sz="1050" b="0" i="0" u="none" strike="noStrike" baseline="0">
              <a:solidFill>
                <a:srgbClr val="000000"/>
              </a:solidFill>
              <a:latin typeface="宋体"/>
              <a:ea typeface="宋体"/>
            </a:rPr>
            <a:t>）分别计算自制和外购两种方案各自的总成本；</a:t>
          </a:r>
        </a:p>
        <a:p>
          <a:pPr algn="l" rtl="0">
            <a:defRPr sz="1000"/>
          </a:pPr>
          <a:r>
            <a:rPr lang="en-US" altLang="zh-CN" sz="1050" b="0" i="0" u="none" strike="noStrike" baseline="0">
              <a:solidFill>
                <a:srgbClr val="000000"/>
              </a:solidFill>
              <a:latin typeface="宋体"/>
              <a:ea typeface="宋体"/>
            </a:rPr>
            <a:t>2</a:t>
          </a:r>
          <a:r>
            <a:rPr lang="zh-CN" altLang="en-US" sz="1050" b="0" i="0" u="none" strike="noStrike" baseline="0">
              <a:solidFill>
                <a:srgbClr val="000000"/>
              </a:solidFill>
              <a:latin typeface="宋体"/>
              <a:ea typeface="宋体"/>
            </a:rPr>
            <a:t>）计算两种方案的相对盈亏平衡点及对应的共同成本；</a:t>
          </a:r>
        </a:p>
        <a:p>
          <a:pPr algn="l" rtl="0">
            <a:defRPr sz="1000"/>
          </a:pPr>
          <a:r>
            <a:rPr lang="en-US" altLang="zh-CN" sz="1050" b="0" i="0" u="none" strike="noStrike" baseline="0">
              <a:solidFill>
                <a:srgbClr val="000000"/>
              </a:solidFill>
              <a:latin typeface="宋体"/>
              <a:ea typeface="宋体"/>
            </a:rPr>
            <a:t>3</a:t>
          </a:r>
          <a:r>
            <a:rPr lang="zh-CN" altLang="en-US" sz="1050" b="0" i="0" u="none" strike="noStrike" baseline="0">
              <a:solidFill>
                <a:srgbClr val="000000"/>
              </a:solidFill>
              <a:latin typeface="宋体"/>
              <a:ea typeface="宋体"/>
            </a:rPr>
            <a:t>）利用模拟运算表分析当零件的需求量从</a:t>
          </a:r>
          <a:r>
            <a:rPr lang="en-US" altLang="zh-CN" sz="1050" b="0" i="0" u="none" strike="noStrike" baseline="0">
              <a:solidFill>
                <a:srgbClr val="000000"/>
              </a:solidFill>
              <a:latin typeface="宋体"/>
              <a:ea typeface="宋体"/>
            </a:rPr>
            <a:t>2000,</a:t>
          </a:r>
          <a:r>
            <a:rPr lang="zh-CN" altLang="en-US" sz="1050" b="0" i="0" u="none" strike="noStrike" baseline="0">
              <a:solidFill>
                <a:srgbClr val="000000"/>
              </a:solidFill>
              <a:latin typeface="宋体"/>
              <a:ea typeface="宋体"/>
            </a:rPr>
            <a:t>按步长</a:t>
          </a:r>
          <a:r>
            <a:rPr lang="en-US" altLang="zh-CN" sz="1050" b="0" i="0" u="none" strike="noStrike" baseline="0">
              <a:solidFill>
                <a:srgbClr val="000000"/>
              </a:solidFill>
              <a:latin typeface="宋体"/>
              <a:ea typeface="宋体"/>
            </a:rPr>
            <a:t>500</a:t>
          </a:r>
          <a:r>
            <a:rPr lang="zh-CN" altLang="en-US" sz="1050" b="0" i="0" u="none" strike="noStrike" baseline="0">
              <a:solidFill>
                <a:srgbClr val="000000"/>
              </a:solidFill>
              <a:latin typeface="宋体"/>
              <a:ea typeface="宋体"/>
            </a:rPr>
            <a:t>，变化到</a:t>
          </a:r>
          <a:r>
            <a:rPr lang="en-US" altLang="zh-CN" sz="1050" b="0" i="0" u="none" strike="noStrike" baseline="0">
              <a:solidFill>
                <a:srgbClr val="000000"/>
              </a:solidFill>
              <a:latin typeface="宋体"/>
              <a:ea typeface="宋体"/>
            </a:rPr>
            <a:t>6000</a:t>
          </a:r>
          <a:r>
            <a:rPr lang="zh-CN" altLang="en-US" sz="1050" b="0" i="0" u="none" strike="noStrike" baseline="0">
              <a:solidFill>
                <a:srgbClr val="000000"/>
              </a:solidFill>
              <a:latin typeface="宋体"/>
              <a:ea typeface="宋体"/>
            </a:rPr>
            <a:t>时，两种方案各自的总成本的变化情况；</a:t>
          </a:r>
          <a:endParaRPr lang="en-US" altLang="zh-CN" sz="1050" b="0" i="0" u="none" strike="noStrike" baseline="0">
            <a:solidFill>
              <a:srgbClr val="000000"/>
            </a:solidFill>
            <a:latin typeface="宋体"/>
            <a:ea typeface="宋体"/>
          </a:endParaRPr>
        </a:p>
        <a:p>
          <a:pPr algn="l" rtl="0">
            <a:defRPr sz="1000"/>
          </a:pPr>
          <a:r>
            <a:rPr lang="en-US" altLang="zh-CN" sz="1050" b="0" i="0" u="none" strike="noStrike" baseline="0">
              <a:solidFill>
                <a:srgbClr val="000000"/>
              </a:solidFill>
              <a:latin typeface="宋体"/>
              <a:ea typeface="宋体"/>
            </a:rPr>
            <a:t>4</a:t>
          </a:r>
          <a:r>
            <a:rPr lang="zh-CN" altLang="en-US" sz="1050" b="0" i="0" u="none" strike="noStrike" baseline="0">
              <a:solidFill>
                <a:srgbClr val="000000"/>
              </a:solidFill>
              <a:latin typeface="宋体"/>
              <a:ea typeface="宋体"/>
            </a:rPr>
            <a:t>）绘制购买与自制两种方案的成本图表，图中的数值调节钮能使零件的单位可变成本从</a:t>
          </a:r>
          <a:r>
            <a:rPr lang="en-US" altLang="zh-CN" sz="1050" b="0" i="0" u="none" strike="noStrike" baseline="0">
              <a:solidFill>
                <a:srgbClr val="000000"/>
              </a:solidFill>
              <a:latin typeface="宋体"/>
              <a:ea typeface="宋体"/>
            </a:rPr>
            <a:t>11</a:t>
          </a:r>
          <a:r>
            <a:rPr lang="zh-CN" altLang="en-US" sz="1050" b="0" i="0" u="none" strike="noStrike" baseline="0">
              <a:solidFill>
                <a:srgbClr val="000000"/>
              </a:solidFill>
              <a:latin typeface="宋体"/>
              <a:ea typeface="宋体"/>
            </a:rPr>
            <a:t>元按步长</a:t>
          </a:r>
          <a:r>
            <a:rPr lang="en-US" altLang="zh-CN" sz="1050" b="0" i="0" u="none" strike="noStrike" baseline="0">
              <a:solidFill>
                <a:srgbClr val="000000"/>
              </a:solidFill>
              <a:latin typeface="宋体"/>
              <a:ea typeface="宋体"/>
            </a:rPr>
            <a:t>1</a:t>
          </a:r>
          <a:r>
            <a:rPr lang="zh-CN" altLang="en-US" sz="1050" b="0" i="0" u="none" strike="noStrike" baseline="0">
              <a:solidFill>
                <a:srgbClr val="000000"/>
              </a:solidFill>
              <a:latin typeface="宋体"/>
              <a:ea typeface="宋体"/>
            </a:rPr>
            <a:t>元变化到</a:t>
          </a:r>
          <a:r>
            <a:rPr lang="en-US" altLang="zh-CN" sz="1050" b="0" i="0" u="none" strike="noStrike" baseline="0">
              <a:solidFill>
                <a:srgbClr val="000000"/>
              </a:solidFill>
              <a:latin typeface="宋体"/>
              <a:ea typeface="宋体"/>
            </a:rPr>
            <a:t>15</a:t>
          </a:r>
          <a:r>
            <a:rPr lang="zh-CN" altLang="en-US" sz="1050" b="0" i="0" u="none" strike="noStrike" baseline="0">
              <a:solidFill>
                <a:srgbClr val="000000"/>
              </a:solidFill>
              <a:latin typeface="宋体"/>
              <a:ea typeface="宋体"/>
            </a:rPr>
            <a:t>元，图中还需将两成本曲线交点的运动轨迹用红色点子表示出来。</a:t>
          </a:r>
        </a:p>
      </xdr:txBody>
    </xdr:sp>
    <xdr:clientData/>
  </xdr:twoCellAnchor>
  <xdr:twoCellAnchor>
    <xdr:from>
      <xdr:col>8</xdr:col>
      <xdr:colOff>455332</xdr:colOff>
      <xdr:row>19</xdr:row>
      <xdr:rowOff>194942</xdr:rowOff>
    </xdr:from>
    <xdr:to>
      <xdr:col>15</xdr:col>
      <xdr:colOff>199425</xdr:colOff>
      <xdr:row>30</xdr:row>
      <xdr:rowOff>40431</xdr:rowOff>
    </xdr:to>
    <xdr:pic>
      <xdr:nvPicPr>
        <xdr:cNvPr id="13" name="Picture 4"/>
        <xdr:cNvPicPr>
          <a:picLocks noChangeAspect="1" noChangeArrowheads="1"/>
        </xdr:cNvPicPr>
      </xdr:nvPicPr>
      <xdr:blipFill>
        <a:blip xmlns:r="http://schemas.openxmlformats.org/officeDocument/2006/relationships" r:embed="rId2" cstate="print"/>
        <a:srcRect/>
        <a:stretch>
          <a:fillRect/>
        </a:stretch>
      </xdr:blipFill>
      <xdr:spPr bwMode="auto">
        <a:xfrm>
          <a:off x="5655982" y="4719317"/>
          <a:ext cx="4849493" cy="2464864"/>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0</xdr:colOff>
          <xdr:row>18</xdr:row>
          <xdr:rowOff>9525</xdr:rowOff>
        </xdr:from>
        <xdr:to>
          <xdr:col>5</xdr:col>
          <xdr:colOff>0</xdr:colOff>
          <xdr:row>19</xdr:row>
          <xdr:rowOff>9525</xdr:rowOff>
        </xdr:to>
        <xdr:sp macro="" textlink="">
          <xdr:nvSpPr>
            <xdr:cNvPr id="7169" name="Spinner 1" hidden="1">
              <a:extLst>
                <a:ext uri="{63B3BB69-23CF-44E3-9099-C40C66FF867C}">
                  <a14:compatExt spid="_x0000_s7169"/>
                </a:ext>
              </a:extLst>
            </xdr:cNvPr>
            <xdr:cNvSpPr/>
          </xdr:nvSpPr>
          <xdr:spPr>
            <a:xfrm>
              <a:off x="0" y="0"/>
              <a:ext cx="0" cy="0"/>
            </a:xfrm>
            <a:prstGeom prst="rect">
              <a:avLst/>
            </a:prstGeom>
          </xdr:spPr>
        </xdr:sp>
        <xdr:clientData/>
      </xdr:twoCellAnchor>
    </mc:Choice>
    <mc:Fallback/>
  </mc:AlternateContent>
  <xdr:twoCellAnchor>
    <xdr:from>
      <xdr:col>10</xdr:col>
      <xdr:colOff>123825</xdr:colOff>
      <xdr:row>9</xdr:row>
      <xdr:rowOff>19050</xdr:rowOff>
    </xdr:from>
    <xdr:to>
      <xdr:col>18</xdr:col>
      <xdr:colOff>133350</xdr:colOff>
      <xdr:row>28</xdr:row>
      <xdr:rowOff>28574</xdr:rowOff>
    </xdr:to>
    <xdr:grpSp>
      <xdr:nvGrpSpPr>
        <xdr:cNvPr id="3" name="组合 2"/>
        <xdr:cNvGrpSpPr/>
      </xdr:nvGrpSpPr>
      <xdr:grpSpPr>
        <a:xfrm>
          <a:off x="6096000" y="1628775"/>
          <a:ext cx="5610225" cy="3352799"/>
          <a:chOff x="5676900" y="3733800"/>
          <a:chExt cx="5610225" cy="3352799"/>
        </a:xfrm>
      </xdr:grpSpPr>
      <xdr:graphicFrame macro="">
        <xdr:nvGraphicFramePr>
          <xdr:cNvPr id="4" name="图表 3"/>
          <xdr:cNvGraphicFramePr/>
        </xdr:nvGraphicFramePr>
        <xdr:xfrm>
          <a:off x="5676900" y="3733800"/>
          <a:ext cx="5610225" cy="3352799"/>
        </xdr:xfrm>
        <a:graphic>
          <a:graphicData uri="http://schemas.openxmlformats.org/drawingml/2006/chart">
            <c:chart xmlns:c="http://schemas.openxmlformats.org/drawingml/2006/chart" xmlns:r="http://schemas.openxmlformats.org/officeDocument/2006/relationships" r:id="rId1"/>
          </a:graphicData>
        </a:graphic>
      </xdr:graphicFrame>
      <xdr:sp macro="" textlink="$C$23">
        <xdr:nvSpPr>
          <xdr:cNvPr id="5" name="文本框 7"/>
          <xdr:cNvSpPr txBox="1"/>
        </xdr:nvSpPr>
        <xdr:spPr>
          <a:xfrm>
            <a:off x="6772275" y="4895849"/>
            <a:ext cx="1495425" cy="2762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fld id="{7519B76F-D7F1-4A8A-9699-44BDC4CDA57F}" type="TxLink">
              <a:rPr lang="zh-CN" altLang="en-US" sz="1200" b="0" i="0" u="none" strike="noStrike">
                <a:solidFill>
                  <a:srgbClr val="000000"/>
                </a:solidFill>
                <a:latin typeface="宋体"/>
                <a:ea typeface="宋体"/>
              </a:rPr>
              <a:pPr/>
              <a:t>最优订货量为15</a:t>
            </a:fld>
            <a:endParaRPr lang="zh-CN" altLang="en-US" sz="1100"/>
          </a:p>
        </xdr:txBody>
      </xdr:sp>
      <xdr:grpSp>
        <xdr:nvGrpSpPr>
          <xdr:cNvPr id="6" name="组合 5"/>
          <xdr:cNvGrpSpPr/>
        </xdr:nvGrpSpPr>
        <xdr:grpSpPr>
          <a:xfrm>
            <a:off x="8543926" y="4886324"/>
            <a:ext cx="2495547" cy="257176"/>
            <a:chOff x="3790952" y="3114674"/>
            <a:chExt cx="2343149" cy="257176"/>
          </a:xfrm>
        </xdr:grpSpPr>
        <mc:AlternateContent xmlns:mc="http://schemas.openxmlformats.org/markup-compatibility/2006">
          <mc:Choice xmlns:a14="http://schemas.microsoft.com/office/drawing/2010/main" Requires="a14">
            <xdr:sp macro="" textlink="">
              <xdr:nvSpPr>
                <xdr:cNvPr id="7170" name="Spinner 2" hidden="1">
                  <a:extLst>
                    <a:ext uri="{63B3BB69-23CF-44E3-9099-C40C66FF867C}">
                      <a14:compatExt spid="_x0000_s7170"/>
                    </a:ext>
                  </a:extLst>
                </xdr:cNvPr>
                <xdr:cNvSpPr/>
              </xdr:nvSpPr>
              <xdr:spPr>
                <a:xfrm>
                  <a:off x="3790952" y="3114674"/>
                  <a:ext cx="161925" cy="257175"/>
                </a:xfrm>
                <a:prstGeom prst="rect">
                  <a:avLst/>
                </a:prstGeom>
              </xdr:spPr>
            </xdr:sp>
          </mc:Choice>
          <mc:Fallback/>
        </mc:AlternateContent>
        <xdr:sp macro="" textlink="$C$22">
          <xdr:nvSpPr>
            <xdr:cNvPr id="8" name="文本框 5"/>
            <xdr:cNvSpPr txBox="1"/>
          </xdr:nvSpPr>
          <xdr:spPr>
            <a:xfrm>
              <a:off x="3952875" y="3114675"/>
              <a:ext cx="2181226" cy="2571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fld id="{CBE7F066-773E-4584-BFB3-E4D2BC5A7E9E}" type="TxLink">
                <a:rPr lang="zh-CN" altLang="en-US" sz="1200" b="0" i="0" u="none" strike="noStrike">
                  <a:solidFill>
                    <a:srgbClr val="000000"/>
                  </a:solidFill>
                  <a:latin typeface="宋体"/>
                  <a:ea typeface="宋体"/>
                </a:rPr>
                <a:pPr/>
                <a:t>订货量=15时，年总成本=32958</a:t>
              </a:fld>
              <a:endParaRPr lang="zh-CN" altLang="en-US" sz="1100"/>
            </a:p>
          </xdr:txBody>
        </xdr:sp>
      </xdr:grpSp>
    </xdr:grpSp>
    <xdr:clientData/>
  </xdr:twoCellAnchor>
  <xdr:twoCellAnchor>
    <xdr:from>
      <xdr:col>2</xdr:col>
      <xdr:colOff>0</xdr:colOff>
      <xdr:row>26</xdr:row>
      <xdr:rowOff>0</xdr:rowOff>
    </xdr:from>
    <xdr:to>
      <xdr:col>10</xdr:col>
      <xdr:colOff>211082</xdr:colOff>
      <xdr:row>61</xdr:row>
      <xdr:rowOff>0</xdr:rowOff>
    </xdr:to>
    <xdr:sp macro="" textlink="">
      <xdr:nvSpPr>
        <xdr:cNvPr id="15" name="Text Box 3"/>
        <xdr:cNvSpPr txBox="1">
          <a:spLocks noChangeArrowheads="1"/>
        </xdr:cNvSpPr>
      </xdr:nvSpPr>
      <xdr:spPr bwMode="auto">
        <a:xfrm>
          <a:off x="238125" y="4629150"/>
          <a:ext cx="5945132" cy="5667375"/>
        </a:xfrm>
        <a:prstGeom prst="rect">
          <a:avLst/>
        </a:prstGeom>
        <a:solidFill>
          <a:srgbClr val="CC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marL="0" marR="0" lvl="0" indent="0" algn="l" defTabSz="914400" rtl="0" eaLnBrk="1" fontAlgn="auto" latinLnBrk="0" hangingPunct="1">
            <a:lnSpc>
              <a:spcPct val="150000"/>
            </a:lnSpc>
            <a:spcBef>
              <a:spcPts val="0"/>
            </a:spcBef>
            <a:spcAft>
              <a:spcPts val="0"/>
            </a:spcAft>
            <a:buClrTx/>
            <a:buSzTx/>
            <a:buFontTx/>
            <a:buNone/>
            <a:tabLst/>
            <a:defRPr sz="1000"/>
          </a:pPr>
          <a:r>
            <a:rPr lang="zh-CN" altLang="zh-CN" sz="1100" b="1" i="0" baseline="0">
              <a:effectLst/>
              <a:latin typeface="+mn-lt"/>
              <a:ea typeface="+mn-ea"/>
              <a:cs typeface="+mn-cs"/>
            </a:rPr>
            <a:t>第</a:t>
          </a:r>
          <a:r>
            <a:rPr lang="en-US" altLang="zh-CN" sz="1100" b="1" i="0" baseline="0">
              <a:effectLst/>
              <a:latin typeface="+mn-lt"/>
              <a:ea typeface="+mn-ea"/>
              <a:cs typeface="+mn-cs"/>
            </a:rPr>
            <a:t>3</a:t>
          </a:r>
          <a:r>
            <a:rPr lang="zh-CN" altLang="zh-CN" sz="1100" b="1" i="0" baseline="0">
              <a:effectLst/>
              <a:latin typeface="+mn-lt"/>
              <a:ea typeface="+mn-ea"/>
              <a:cs typeface="+mn-cs"/>
            </a:rPr>
            <a:t>题（</a:t>
          </a:r>
          <a:r>
            <a:rPr lang="en-US" altLang="zh-CN" sz="1100" b="1" i="0" baseline="0">
              <a:effectLst/>
              <a:latin typeface="+mn-lt"/>
              <a:ea typeface="+mn-ea"/>
              <a:cs typeface="+mn-cs"/>
            </a:rPr>
            <a:t>15</a:t>
          </a:r>
          <a:r>
            <a:rPr lang="zh-CN" altLang="zh-CN" sz="1100" b="1" i="0" baseline="0">
              <a:effectLst/>
              <a:latin typeface="+mn-lt"/>
              <a:ea typeface="+mn-ea"/>
              <a:cs typeface="+mn-cs"/>
            </a:rPr>
            <a:t>分）</a:t>
          </a:r>
          <a:r>
            <a:rPr kumimoji="0" lang="zh-CN" altLang="zh-CN" sz="1050" b="0" i="0" u="none" strike="noStrike" kern="0" cap="none" spc="0" normalizeH="0" baseline="0" noProof="0">
              <a:ln>
                <a:noFill/>
              </a:ln>
              <a:solidFill>
                <a:sysClr val="windowText" lastClr="000000"/>
              </a:solidFill>
              <a:effectLst/>
              <a:uLnTx/>
              <a:uFillTx/>
              <a:latin typeface="+mn-lt"/>
              <a:ea typeface="+mn-ea"/>
              <a:cs typeface="+mn-cs"/>
            </a:rPr>
            <a:t>假设某种矿石的年需要量为1000吨，单位年储存成本为750元，一次订购的订货成本为50元，每吨运费为25元</a:t>
          </a:r>
          <a:r>
            <a:rPr kumimoji="0" lang="zh-CN" altLang="en-US" sz="1050" b="0" i="0" u="none" strike="noStrike" kern="0" cap="none" spc="0" normalizeH="0" baseline="0" noProof="0">
              <a:ln>
                <a:noFill/>
              </a:ln>
              <a:solidFill>
                <a:sysClr val="windowText" lastClr="000000"/>
              </a:solidFill>
              <a:effectLst/>
              <a:uLnTx/>
              <a:uFillTx/>
              <a:latin typeface="+mn-lt"/>
              <a:ea typeface="+mn-ea"/>
              <a:cs typeface="+mn-cs"/>
            </a:rPr>
            <a:t>。运输公司给出的优惠方案如表所示，当订货量大于等于各档阈限值时，每吨运费给予相应的优惠。请完成：</a:t>
          </a:r>
          <a:endParaRPr kumimoji="0" lang="en-US" altLang="zh-CN"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rtl="0" eaLnBrk="1" fontAlgn="auto" latinLnBrk="0" hangingPunct="1">
            <a:lnSpc>
              <a:spcPct val="150000"/>
            </a:lnSpc>
            <a:spcBef>
              <a:spcPts val="0"/>
            </a:spcBef>
            <a:spcAft>
              <a:spcPts val="0"/>
            </a:spcAft>
            <a:buClrTx/>
            <a:buSzTx/>
            <a:buFontTx/>
            <a:buNone/>
            <a:tabLst/>
            <a:defRPr/>
          </a:pPr>
          <a:r>
            <a:rPr kumimoji="0" lang="en-US" altLang="zh-CN" sz="1050" b="0" i="0" u="none" strike="noStrike" kern="0" cap="none" spc="0" normalizeH="0" baseline="0" noProof="0">
              <a:ln>
                <a:noFill/>
              </a:ln>
              <a:solidFill>
                <a:srgbClr val="000000"/>
              </a:solidFill>
              <a:effectLst/>
              <a:uLnTx/>
              <a:uFillTx/>
              <a:latin typeface="宋体"/>
              <a:ea typeface="+mn-ea"/>
              <a:cs typeface="+mn-cs"/>
            </a:rPr>
            <a:t>1</a:t>
          </a:r>
          <a:r>
            <a:rPr kumimoji="0" lang="zh-CN" altLang="en-US" sz="1050" b="0" i="0" u="none" strike="noStrike" kern="0" cap="none" spc="0" normalizeH="0" baseline="0" noProof="0">
              <a:ln>
                <a:noFill/>
              </a:ln>
              <a:solidFill>
                <a:srgbClr val="000000"/>
              </a:solidFill>
              <a:effectLst/>
              <a:uLnTx/>
              <a:uFillTx/>
              <a:latin typeface="宋体"/>
              <a:ea typeface="+mn-ea"/>
              <a:cs typeface="+mn-cs"/>
            </a:rPr>
            <a:t>、当订货量为15吨时的</a:t>
          </a:r>
          <a:r>
            <a:rPr kumimoji="0" lang="zh-CN" altLang="zh-CN" sz="1100" b="0" i="0" u="none" strike="noStrike" kern="0" cap="none" spc="0" normalizeH="0" baseline="0" noProof="0">
              <a:ln>
                <a:noFill/>
              </a:ln>
              <a:solidFill>
                <a:sysClr val="windowText" lastClr="000000"/>
              </a:solidFill>
              <a:effectLst/>
              <a:uLnTx/>
              <a:uFillTx/>
              <a:latin typeface="+mn-lt"/>
              <a:ea typeface="+mn-ea"/>
              <a:cs typeface="+mn-cs"/>
            </a:rPr>
            <a:t>年订货成本、年储存成本、年运输成本和年总成本。</a:t>
          </a:r>
          <a:endParaRPr kumimoji="0" lang="zh-CN" altLang="zh-CN"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rtl="0" eaLnBrk="1" fontAlgn="auto" latinLnBrk="0" hangingPunct="1">
            <a:lnSpc>
              <a:spcPct val="150000"/>
            </a:lnSpc>
            <a:spcBef>
              <a:spcPts val="0"/>
            </a:spcBef>
            <a:spcAft>
              <a:spcPts val="0"/>
            </a:spcAft>
            <a:buClrTx/>
            <a:buSzTx/>
            <a:buFontTx/>
            <a:buNone/>
            <a:tabLst/>
            <a:defRPr/>
          </a:pPr>
          <a:r>
            <a:rPr kumimoji="0" lang="en-US" altLang="zh-CN" sz="1050" b="0" i="0" u="none" strike="noStrike" kern="0" cap="none" spc="0" normalizeH="0" baseline="0" noProof="0">
              <a:ln>
                <a:noFill/>
              </a:ln>
              <a:solidFill>
                <a:srgbClr val="000000"/>
              </a:solidFill>
              <a:effectLst/>
              <a:uLnTx/>
              <a:uFillTx/>
              <a:latin typeface="宋体"/>
              <a:ea typeface="+mn-ea"/>
              <a:cs typeface="+mn-cs"/>
            </a:rPr>
            <a:t>2</a:t>
          </a:r>
          <a:r>
            <a:rPr kumimoji="0" lang="zh-CN" altLang="en-US" sz="1050" b="0" i="0" u="none" strike="noStrike" kern="0" cap="none" spc="0" normalizeH="0" baseline="0" noProof="0">
              <a:ln>
                <a:noFill/>
              </a:ln>
              <a:solidFill>
                <a:srgbClr val="000000"/>
              </a:solidFill>
              <a:effectLst/>
              <a:uLnTx/>
              <a:uFillTx/>
              <a:latin typeface="宋体"/>
              <a:ea typeface="+mn-ea"/>
              <a:cs typeface="+mn-cs"/>
            </a:rPr>
            <a:t>、计算经济订货量EOQ,以及EOQ下的</a:t>
          </a:r>
          <a:r>
            <a:rPr kumimoji="0" lang="zh-CN" altLang="zh-CN" sz="1100" b="0" i="0" u="none" strike="noStrike" kern="0" cap="none" spc="0" normalizeH="0" baseline="0" noProof="0">
              <a:ln>
                <a:noFill/>
              </a:ln>
              <a:solidFill>
                <a:sysClr val="windowText" lastClr="000000"/>
              </a:solidFill>
              <a:effectLst/>
              <a:uLnTx/>
              <a:uFillTx/>
              <a:latin typeface="+mn-lt"/>
              <a:ea typeface="+mn-ea"/>
              <a:cs typeface="+mn-cs"/>
            </a:rPr>
            <a:t>年订货成本、年储存成本、年运输成本和年总成本。</a:t>
          </a:r>
          <a:endParaRPr kumimoji="0" lang="zh-CN" altLang="zh-CN" sz="105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algn="l" defTabSz="914400" rtl="0" eaLnBrk="1" fontAlgn="auto" latinLnBrk="0" hangingPunct="1">
            <a:lnSpc>
              <a:spcPct val="150000"/>
            </a:lnSpc>
            <a:spcBef>
              <a:spcPts val="0"/>
            </a:spcBef>
            <a:spcAft>
              <a:spcPts val="0"/>
            </a:spcAft>
            <a:buClrTx/>
            <a:buSzTx/>
            <a:buFontTx/>
            <a:buNone/>
            <a:tabLst/>
            <a:defRPr sz="1000"/>
          </a:pPr>
          <a:r>
            <a:rPr kumimoji="0" lang="en-US" altLang="zh-CN" sz="1050" b="0" i="0" u="none" strike="noStrike" kern="0" cap="none" spc="0" normalizeH="0" baseline="0" noProof="0">
              <a:ln>
                <a:noFill/>
              </a:ln>
              <a:solidFill>
                <a:srgbClr val="000000"/>
              </a:solidFill>
              <a:effectLst/>
              <a:uLnTx/>
              <a:uFillTx/>
              <a:latin typeface="宋体"/>
              <a:ea typeface="+mn-ea"/>
              <a:cs typeface="+mn-cs"/>
            </a:rPr>
            <a:t>3</a:t>
          </a:r>
          <a:r>
            <a:rPr kumimoji="0" lang="zh-CN" altLang="en-US" sz="1050" b="0" i="0" u="none" strike="noStrike" kern="0" cap="none" spc="0" normalizeH="0" baseline="0" noProof="0">
              <a:ln>
                <a:noFill/>
              </a:ln>
              <a:solidFill>
                <a:srgbClr val="000000"/>
              </a:solidFill>
              <a:effectLst/>
              <a:uLnTx/>
              <a:uFillTx/>
              <a:latin typeface="宋体"/>
              <a:ea typeface="+mn-ea"/>
              <a:cs typeface="+mn-cs"/>
            </a:rPr>
            <a:t>、绘制如下所示的图表，并添加一个用以表示当前订货量及它所对应的年总成本的红色圆点。在图中添加一个调节订货量的数值调节钮，调节范围为</a:t>
          </a:r>
          <a:r>
            <a:rPr kumimoji="0" lang="en-US" altLang="zh-CN" sz="1050" b="0" i="0" u="none" strike="noStrike" kern="0" cap="none" spc="0" normalizeH="0" baseline="0" noProof="0">
              <a:ln>
                <a:noFill/>
              </a:ln>
              <a:solidFill>
                <a:srgbClr val="000000"/>
              </a:solidFill>
              <a:effectLst/>
              <a:uLnTx/>
              <a:uFillTx/>
              <a:latin typeface="宋体"/>
              <a:ea typeface="+mn-ea"/>
              <a:cs typeface="+mn-cs"/>
            </a:rPr>
            <a:t>3</a:t>
          </a:r>
          <a:r>
            <a:rPr kumimoji="0" lang="zh-CN" altLang="en-US" sz="1050" b="0" i="0" u="none" strike="noStrike" kern="0" cap="none" spc="0" normalizeH="0" baseline="0" noProof="0">
              <a:ln>
                <a:noFill/>
              </a:ln>
              <a:solidFill>
                <a:srgbClr val="000000"/>
              </a:solidFill>
              <a:effectLst/>
              <a:uLnTx/>
              <a:uFillTx/>
              <a:latin typeface="宋体"/>
              <a:ea typeface="+mn-ea"/>
              <a:cs typeface="+mn-cs"/>
            </a:rPr>
            <a:t>～</a:t>
          </a:r>
          <a:r>
            <a:rPr kumimoji="0" lang="en-US" altLang="zh-CN" sz="1050" b="0" i="0" u="none" strike="noStrike" kern="0" cap="none" spc="0" normalizeH="0" baseline="0" noProof="0">
              <a:ln>
                <a:noFill/>
              </a:ln>
              <a:solidFill>
                <a:srgbClr val="000000"/>
              </a:solidFill>
              <a:effectLst/>
              <a:uLnTx/>
              <a:uFillTx/>
              <a:latin typeface="宋体"/>
              <a:ea typeface="+mn-ea"/>
              <a:cs typeface="+mn-cs"/>
            </a:rPr>
            <a:t>40</a:t>
          </a:r>
          <a:r>
            <a:rPr kumimoji="0" lang="zh-CN" altLang="en-US" sz="1050" b="0" i="0" u="none" strike="noStrike" kern="0" cap="none" spc="0" normalizeH="0" baseline="0" noProof="0">
              <a:ln>
                <a:noFill/>
              </a:ln>
              <a:solidFill>
                <a:srgbClr val="000000"/>
              </a:solidFill>
              <a:effectLst/>
              <a:uLnTx/>
              <a:uFillTx/>
              <a:latin typeface="宋体"/>
              <a:ea typeface="+mn-ea"/>
              <a:cs typeface="+mn-cs"/>
            </a:rPr>
            <a:t>，步长为</a:t>
          </a:r>
          <a:r>
            <a:rPr kumimoji="0" lang="en-US" altLang="zh-CN" sz="1050" b="0" i="0" u="none" strike="noStrike" kern="0" cap="none" spc="0" normalizeH="0" baseline="0" noProof="0">
              <a:ln>
                <a:noFill/>
              </a:ln>
              <a:solidFill>
                <a:srgbClr val="000000"/>
              </a:solidFill>
              <a:effectLst/>
              <a:uLnTx/>
              <a:uFillTx/>
              <a:latin typeface="宋体"/>
              <a:ea typeface="+mn-ea"/>
              <a:cs typeface="+mn-cs"/>
            </a:rPr>
            <a:t>1</a:t>
          </a:r>
          <a:r>
            <a:rPr kumimoji="0" lang="zh-CN" altLang="en-US" sz="1050" b="0" i="0" u="none" strike="noStrike" kern="0" cap="none" spc="0" normalizeH="0" baseline="0" noProof="0">
              <a:ln>
                <a:noFill/>
              </a:ln>
              <a:solidFill>
                <a:srgbClr val="000000"/>
              </a:solidFill>
              <a:effectLst/>
              <a:uLnTx/>
              <a:uFillTx/>
              <a:latin typeface="宋体"/>
              <a:ea typeface="+mn-ea"/>
              <a:cs typeface="+mn-cs"/>
            </a:rPr>
            <a:t>。</a:t>
          </a:r>
          <a:endParaRPr kumimoji="0" lang="en-US" altLang="zh-CN" sz="1050" b="0" i="0" u="none" strike="noStrike" kern="0" cap="none" spc="0" normalizeH="0" baseline="0" noProof="0">
            <a:ln>
              <a:noFill/>
            </a:ln>
            <a:solidFill>
              <a:srgbClr val="000000"/>
            </a:solidFill>
            <a:effectLst/>
            <a:uLnTx/>
            <a:uFillTx/>
            <a:latin typeface="宋体"/>
            <a:ea typeface="+mn-ea"/>
            <a:cs typeface="+mn-cs"/>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en-US" altLang="zh-CN"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r>
            <a:rPr lang="zh-CN" altLang="en-US" sz="1050" b="0" i="0" u="none" strike="noStrike" baseline="0">
              <a:solidFill>
                <a:srgbClr val="000000"/>
              </a:solidFill>
              <a:latin typeface="宋体"/>
              <a:ea typeface="宋体"/>
            </a:rPr>
            <a:t>4、在图中添加一个能表示最低年总成本所对应的最优订货量数值的结论框。</a:t>
          </a: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endParaRPr lang="zh-CN" altLang="en-US" sz="1050" b="0" i="0" u="none" strike="noStrike" baseline="0">
            <a:solidFill>
              <a:srgbClr val="000000"/>
            </a:solidFill>
            <a:latin typeface="宋体"/>
            <a:ea typeface="宋体"/>
          </a:endParaRPr>
        </a:p>
        <a:p>
          <a:pPr algn="l" rtl="0">
            <a:lnSpc>
              <a:spcPct val="150000"/>
            </a:lnSpc>
            <a:defRPr sz="1000"/>
          </a:pPr>
          <a:r>
            <a:rPr lang="zh-CN" altLang="en-US" sz="1050" b="0" i="0" u="none" strike="noStrike" baseline="0">
              <a:solidFill>
                <a:srgbClr val="000000"/>
              </a:solidFill>
              <a:latin typeface="宋体"/>
              <a:ea typeface="宋体"/>
            </a:rPr>
            <a:t>5）在K5:L20单元格中生成一个表格，反映出当整车运输起码吨位从15按增量1变化到30时,采用方案的结论文字。</a:t>
          </a:r>
        </a:p>
      </xdr:txBody>
    </xdr:sp>
    <xdr:clientData/>
  </xdr:twoCellAnchor>
  <xdr:twoCellAnchor>
    <xdr:from>
      <xdr:col>2</xdr:col>
      <xdr:colOff>457199</xdr:colOff>
      <xdr:row>38</xdr:row>
      <xdr:rowOff>0</xdr:rowOff>
    </xdr:from>
    <xdr:to>
      <xdr:col>10</xdr:col>
      <xdr:colOff>16190</xdr:colOff>
      <xdr:row>57</xdr:row>
      <xdr:rowOff>90279</xdr:rowOff>
    </xdr:to>
    <xdr:pic>
      <xdr:nvPicPr>
        <xdr:cNvPr id="16" name="图片 15"/>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5324" y="6572250"/>
          <a:ext cx="5293041" cy="31668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0</xdr:rowOff>
    </xdr:from>
    <xdr:to>
      <xdr:col>7</xdr:col>
      <xdr:colOff>400050</xdr:colOff>
      <xdr:row>25</xdr:row>
      <xdr:rowOff>0</xdr:rowOff>
    </xdr:to>
    <xdr:sp macro="" textlink="">
      <xdr:nvSpPr>
        <xdr:cNvPr id="4" name="Text Box 1"/>
        <xdr:cNvSpPr txBox="1">
          <a:spLocks noChangeArrowheads="1"/>
        </xdr:cNvSpPr>
      </xdr:nvSpPr>
      <xdr:spPr bwMode="auto">
        <a:xfrm>
          <a:off x="0" y="2276475"/>
          <a:ext cx="5934075" cy="1943100"/>
        </a:xfrm>
        <a:prstGeom prst="rect">
          <a:avLst/>
        </a:prstGeom>
        <a:solidFill>
          <a:srgbClr val="CCFFFF"/>
        </a:solidFill>
        <a:ln w="9525">
          <a:solidFill>
            <a:srgbClr val="000000"/>
          </a:solidFill>
          <a:miter lim="800000"/>
          <a:headEnd/>
          <a:tailEnd/>
        </a:ln>
      </xdr:spPr>
      <xdr:txBody>
        <a:bodyPr vertOverflow="clip" wrap="square" lIns="27432" tIns="18288" rIns="0" bIns="0" anchor="t" upright="1"/>
        <a:lstStyle/>
        <a:p>
          <a:pPr algn="l" rtl="0">
            <a:defRPr sz="1000"/>
          </a:pPr>
          <a:r>
            <a:rPr lang="zh-CN" altLang="en-US" sz="1100" b="1" i="0" strike="noStrike">
              <a:solidFill>
                <a:srgbClr val="000000"/>
              </a:solidFill>
              <a:latin typeface="宋体"/>
              <a:ea typeface="宋体"/>
            </a:rPr>
            <a:t>第</a:t>
          </a:r>
          <a:r>
            <a:rPr lang="en-US" altLang="zh-CN" sz="1100" b="1" i="0" strike="noStrike">
              <a:solidFill>
                <a:srgbClr val="000000"/>
              </a:solidFill>
              <a:latin typeface="宋体"/>
              <a:ea typeface="宋体"/>
            </a:rPr>
            <a:t>4</a:t>
          </a:r>
          <a:r>
            <a:rPr lang="zh-CN" altLang="en-US" sz="1100" b="1" i="0" strike="noStrike">
              <a:solidFill>
                <a:srgbClr val="000000"/>
              </a:solidFill>
              <a:latin typeface="宋体"/>
              <a:ea typeface="宋体"/>
            </a:rPr>
            <a:t>题（</a:t>
          </a:r>
          <a:r>
            <a:rPr lang="en-US" altLang="zh-CN" sz="1100" b="1" i="0" strike="noStrike">
              <a:solidFill>
                <a:srgbClr val="000000"/>
              </a:solidFill>
              <a:latin typeface="宋体"/>
              <a:ea typeface="宋体"/>
            </a:rPr>
            <a:t>10</a:t>
          </a:r>
          <a:r>
            <a:rPr lang="zh-CN" altLang="en-US" sz="1100" b="1" i="0" strike="noStrike">
              <a:solidFill>
                <a:srgbClr val="000000"/>
              </a:solidFill>
              <a:latin typeface="宋体"/>
              <a:ea typeface="宋体"/>
            </a:rPr>
            <a:t>分）</a:t>
          </a:r>
          <a:r>
            <a:rPr lang="zh-CN" altLang="en-US" sz="1100" b="0" i="0" strike="noStrike">
              <a:solidFill>
                <a:srgbClr val="000000"/>
              </a:solidFill>
              <a:latin typeface="宋体"/>
              <a:ea typeface="宋体"/>
            </a:rPr>
            <a:t>某投资者在第</a:t>
          </a:r>
          <a:r>
            <a:rPr lang="en-US" altLang="zh-CN" sz="1100" b="0" i="0" strike="noStrike">
              <a:solidFill>
                <a:srgbClr val="000000"/>
              </a:solidFill>
              <a:latin typeface="宋体"/>
              <a:ea typeface="宋体"/>
            </a:rPr>
            <a:t>0</a:t>
          </a:r>
          <a:r>
            <a:rPr lang="zh-CN" altLang="en-US" sz="1100" b="0" i="0" strike="noStrike">
              <a:solidFill>
                <a:srgbClr val="000000"/>
              </a:solidFill>
              <a:latin typeface="宋体"/>
              <a:ea typeface="宋体"/>
            </a:rPr>
            <a:t>年花</a:t>
          </a:r>
          <a:r>
            <a:rPr lang="en-US" altLang="zh-CN" sz="1100" b="0" i="0" strike="noStrike">
              <a:solidFill>
                <a:srgbClr val="000000"/>
              </a:solidFill>
              <a:latin typeface="宋体"/>
              <a:ea typeface="宋体"/>
            </a:rPr>
            <a:t>360</a:t>
          </a:r>
          <a:r>
            <a:rPr lang="zh-CN" altLang="en-US" sz="1100" b="0" i="0" strike="noStrike">
              <a:solidFill>
                <a:srgbClr val="000000"/>
              </a:solidFill>
              <a:latin typeface="宋体"/>
              <a:ea typeface="宋体"/>
            </a:rPr>
            <a:t>万购买某公寓，在随后的</a:t>
          </a:r>
          <a:r>
            <a:rPr lang="en-US" altLang="zh-CN" sz="1100" b="0" i="0" strike="noStrike">
              <a:solidFill>
                <a:srgbClr val="000000"/>
              </a:solidFill>
              <a:latin typeface="宋体"/>
              <a:ea typeface="宋体"/>
            </a:rPr>
            <a:t>8</a:t>
          </a:r>
          <a:r>
            <a:rPr lang="zh-CN" altLang="en-US" sz="1100" b="0" i="0" strike="noStrike">
              <a:solidFill>
                <a:srgbClr val="000000"/>
              </a:solidFill>
              <a:latin typeface="宋体"/>
              <a:ea typeface="宋体"/>
            </a:rPr>
            <a:t>年里出租，每年可得租金</a:t>
          </a:r>
          <a:r>
            <a:rPr lang="en-US" altLang="zh-CN" sz="1100" b="0" i="0" strike="noStrike">
              <a:solidFill>
                <a:srgbClr val="000000"/>
              </a:solidFill>
              <a:latin typeface="宋体"/>
              <a:ea typeface="宋体"/>
            </a:rPr>
            <a:t>14</a:t>
          </a:r>
          <a:r>
            <a:rPr lang="zh-CN" altLang="en-US" sz="1100" b="0" i="0" strike="noStrike">
              <a:solidFill>
                <a:srgbClr val="000000"/>
              </a:solidFill>
              <a:latin typeface="宋体"/>
              <a:ea typeface="宋体"/>
            </a:rPr>
            <a:t>万，</a:t>
          </a:r>
          <a:r>
            <a:rPr lang="en-US" altLang="zh-CN" sz="1100" b="0" i="0" strike="noStrike">
              <a:solidFill>
                <a:srgbClr val="000000"/>
              </a:solidFill>
              <a:latin typeface="宋体"/>
              <a:ea typeface="宋体"/>
            </a:rPr>
            <a:t>8</a:t>
          </a:r>
          <a:r>
            <a:rPr lang="zh-CN" altLang="en-US" sz="1100" b="0" i="0" strike="noStrike">
              <a:solidFill>
                <a:srgbClr val="000000"/>
              </a:solidFill>
              <a:latin typeface="宋体"/>
              <a:ea typeface="宋体"/>
            </a:rPr>
            <a:t>年后因急需资金他将该公寓以</a:t>
          </a:r>
          <a:r>
            <a:rPr lang="en-US" altLang="zh-CN" sz="1100" b="0" i="0" strike="noStrike">
              <a:solidFill>
                <a:srgbClr val="000000"/>
              </a:solidFill>
              <a:latin typeface="宋体"/>
              <a:ea typeface="宋体"/>
            </a:rPr>
            <a:t>420</a:t>
          </a:r>
          <a:r>
            <a:rPr lang="zh-CN" altLang="en-US" sz="1100" b="0" i="0" strike="noStrike">
              <a:solidFill>
                <a:srgbClr val="000000"/>
              </a:solidFill>
              <a:latin typeface="宋体"/>
              <a:ea typeface="宋体"/>
            </a:rPr>
            <a:t>万出售。要求：</a:t>
          </a:r>
        </a:p>
        <a:p>
          <a:pPr algn="l" rtl="0">
            <a:defRPr sz="1000"/>
          </a:pPr>
          <a:r>
            <a:rPr lang="en-US" altLang="zh-CN" sz="1100" b="0" i="0" strike="noStrike">
              <a:solidFill>
                <a:srgbClr val="000000"/>
              </a:solidFill>
              <a:latin typeface="宋体"/>
              <a:ea typeface="宋体"/>
            </a:rPr>
            <a:t>1</a:t>
          </a:r>
          <a:r>
            <a:rPr lang="zh-CN" altLang="en-US" sz="1100" b="0" i="0" strike="noStrike">
              <a:solidFill>
                <a:srgbClr val="000000"/>
              </a:solidFill>
              <a:latin typeface="宋体"/>
              <a:ea typeface="宋体"/>
            </a:rPr>
            <a:t>、</a:t>
          </a:r>
          <a:r>
            <a:rPr lang="zh-CN" altLang="en-US" sz="1100" b="1" i="0" strike="noStrike">
              <a:solidFill>
                <a:srgbClr val="000000"/>
              </a:solidFill>
              <a:latin typeface="宋体"/>
              <a:ea typeface="宋体"/>
            </a:rPr>
            <a:t>用两种不同的财务函数</a:t>
          </a:r>
          <a:r>
            <a:rPr lang="zh-CN" altLang="en-US" sz="1100" b="0" i="0" strike="noStrike">
              <a:solidFill>
                <a:srgbClr val="000000"/>
              </a:solidFill>
              <a:latin typeface="宋体"/>
              <a:ea typeface="宋体"/>
            </a:rPr>
            <a:t>分别计算该投资项目的年回报率。</a:t>
          </a:r>
          <a:endParaRPr lang="en-US" altLang="zh-CN" sz="1100" b="0" i="0" strike="noStrike">
            <a:solidFill>
              <a:srgbClr val="000000"/>
            </a:solidFill>
            <a:latin typeface="宋体"/>
            <a:ea typeface="宋体"/>
          </a:endParaRPr>
        </a:p>
        <a:p>
          <a:pPr algn="l" rtl="0">
            <a:defRPr sz="1000"/>
          </a:pPr>
          <a:r>
            <a:rPr lang="en-US" altLang="zh-CN" sz="1100" b="0" i="0" strike="noStrike">
              <a:solidFill>
                <a:srgbClr val="000000"/>
              </a:solidFill>
              <a:latin typeface="宋体"/>
              <a:ea typeface="宋体"/>
            </a:rPr>
            <a:t>2</a:t>
          </a:r>
          <a:r>
            <a:rPr lang="zh-CN" altLang="en-US" sz="1100" b="0" i="0" strike="noStrike">
              <a:solidFill>
                <a:srgbClr val="000000"/>
              </a:solidFill>
              <a:latin typeface="宋体"/>
              <a:ea typeface="宋体"/>
            </a:rPr>
            <a:t>、</a:t>
          </a:r>
          <a:r>
            <a:rPr lang="zh-CN" altLang="en-US" sz="1100" b="0" i="0">
              <a:latin typeface="+mn-lt"/>
              <a:ea typeface="+mn-ea"/>
              <a:cs typeface="+mn-cs"/>
            </a:rPr>
            <a:t>一个项目的内部报酬率可以理解为银行的贷款利率，个人</a:t>
          </a:r>
          <a:r>
            <a:rPr lang="en-US" altLang="zh-CN" sz="1100" b="0" i="0">
              <a:latin typeface="+mn-lt"/>
              <a:ea typeface="+mn-ea"/>
              <a:cs typeface="+mn-cs"/>
            </a:rPr>
            <a:t>/</a:t>
          </a:r>
          <a:r>
            <a:rPr lang="zh-CN" altLang="en-US" sz="1100" b="0" i="0">
              <a:latin typeface="+mn-lt"/>
              <a:ea typeface="+mn-ea"/>
              <a:cs typeface="+mn-cs"/>
            </a:rPr>
            <a:t>企业为该项目而向银行贷款，几年后利用项目的回报恰好把银行的贷款还清。请对上述项目逐年模拟该过程</a:t>
          </a:r>
          <a:endParaRPr lang="zh-CN" altLang="en-US" sz="1100" b="0" i="0" strike="noStrike">
            <a:solidFill>
              <a:srgbClr val="000000"/>
            </a:solidFill>
            <a:latin typeface="宋体"/>
            <a:ea typeface="宋体"/>
          </a:endParaRPr>
        </a:p>
        <a:p>
          <a:pPr algn="l" rtl="0">
            <a:defRPr sz="1000"/>
          </a:pPr>
          <a:r>
            <a:rPr lang="en-US" altLang="zh-CN" sz="1100" b="0" i="0" strike="noStrike">
              <a:solidFill>
                <a:srgbClr val="000000"/>
              </a:solidFill>
              <a:latin typeface="宋体"/>
              <a:ea typeface="宋体"/>
            </a:rPr>
            <a:t>3</a:t>
          </a:r>
          <a:r>
            <a:rPr lang="zh-CN" altLang="en-US" sz="1100" b="0" i="0" strike="noStrike">
              <a:solidFill>
                <a:srgbClr val="000000"/>
              </a:solidFill>
              <a:latin typeface="宋体"/>
              <a:ea typeface="宋体"/>
            </a:rPr>
            <a:t>、</a:t>
          </a:r>
          <a:r>
            <a:rPr lang="zh-CN" altLang="en-US" sz="1100" b="1" i="0" strike="noStrike">
              <a:solidFill>
                <a:srgbClr val="000000"/>
              </a:solidFill>
              <a:latin typeface="宋体"/>
              <a:ea typeface="宋体"/>
            </a:rPr>
            <a:t>用财务函数计算</a:t>
          </a:r>
          <a:r>
            <a:rPr lang="zh-CN" altLang="en-US" sz="1100" b="0" i="0" strike="noStrike">
              <a:solidFill>
                <a:srgbClr val="000000"/>
              </a:solidFill>
              <a:latin typeface="宋体"/>
              <a:ea typeface="宋体"/>
            </a:rPr>
            <a:t>，若投资者期望的回报率为</a:t>
          </a:r>
          <a:r>
            <a:rPr lang="en-US" altLang="zh-CN" sz="1100" b="0" i="0" strike="noStrike">
              <a:solidFill>
                <a:srgbClr val="000000"/>
              </a:solidFill>
              <a:latin typeface="宋体"/>
              <a:ea typeface="宋体"/>
            </a:rPr>
            <a:t>6%</a:t>
          </a:r>
          <a:r>
            <a:rPr lang="zh-CN" altLang="en-US" sz="1100" b="0" i="0" strike="noStrike">
              <a:solidFill>
                <a:srgbClr val="000000"/>
              </a:solidFill>
              <a:latin typeface="宋体"/>
              <a:ea typeface="宋体"/>
            </a:rPr>
            <a:t>，他每年的租金收入应该为多少？</a:t>
          </a:r>
        </a:p>
        <a:p>
          <a:pPr algn="l" rtl="0">
            <a:defRPr sz="1000"/>
          </a:pPr>
          <a:r>
            <a:rPr lang="en-US" altLang="zh-CN" sz="1100" b="0" i="0" strike="noStrike">
              <a:solidFill>
                <a:srgbClr val="000000"/>
              </a:solidFill>
              <a:latin typeface="宋体"/>
              <a:ea typeface="宋体"/>
            </a:rPr>
            <a:t>4</a:t>
          </a:r>
          <a:r>
            <a:rPr lang="zh-CN" altLang="en-US" sz="1100" b="0" i="0" strike="noStrike">
              <a:solidFill>
                <a:srgbClr val="000000"/>
              </a:solidFill>
              <a:latin typeface="宋体"/>
              <a:ea typeface="宋体"/>
            </a:rPr>
            <a:t>、</a:t>
          </a:r>
          <a:r>
            <a:rPr lang="zh-CN" altLang="en-US" sz="1100" b="1" i="0" strike="noStrike">
              <a:solidFill>
                <a:srgbClr val="000000"/>
              </a:solidFill>
              <a:latin typeface="宋体"/>
              <a:ea typeface="宋体"/>
            </a:rPr>
            <a:t>用财务函数计算</a:t>
          </a:r>
          <a:r>
            <a:rPr lang="zh-CN" altLang="en-US" sz="1100" b="0" i="0" strike="noStrike">
              <a:solidFill>
                <a:srgbClr val="000000"/>
              </a:solidFill>
              <a:latin typeface="宋体"/>
              <a:ea typeface="宋体"/>
            </a:rPr>
            <a:t>，</a:t>
          </a:r>
          <a:r>
            <a:rPr lang="zh-CN" altLang="en-US" sz="1100" b="0" i="0">
              <a:latin typeface="+mn-lt"/>
              <a:ea typeface="+mn-ea"/>
              <a:cs typeface="+mn-cs"/>
            </a:rPr>
            <a:t>在每年的租金收入仍为</a:t>
          </a:r>
          <a:r>
            <a:rPr lang="en-US" sz="1100" b="0" i="0">
              <a:latin typeface="+mn-lt"/>
              <a:ea typeface="+mn-ea"/>
              <a:cs typeface="+mn-cs"/>
            </a:rPr>
            <a:t>14</a:t>
          </a:r>
          <a:r>
            <a:rPr lang="zh-CN" altLang="en-US" sz="1100" b="0" i="0">
              <a:latin typeface="+mn-lt"/>
              <a:ea typeface="+mn-ea"/>
              <a:cs typeface="+mn-cs"/>
            </a:rPr>
            <a:t>万的情况下，若投资者期望达到</a:t>
          </a:r>
          <a:r>
            <a:rPr lang="en-US" altLang="zh-CN" sz="1100" b="0" i="0">
              <a:latin typeface="+mn-lt"/>
              <a:ea typeface="+mn-ea"/>
              <a:cs typeface="+mn-cs"/>
            </a:rPr>
            <a:t>6</a:t>
          </a:r>
          <a:r>
            <a:rPr lang="en-US" sz="1100" b="0" i="0">
              <a:latin typeface="+mn-lt"/>
              <a:ea typeface="+mn-ea"/>
              <a:cs typeface="+mn-cs"/>
            </a:rPr>
            <a:t>%</a:t>
          </a:r>
          <a:r>
            <a:rPr lang="zh-CN" altLang="en-US" sz="1100" b="0" i="0">
              <a:latin typeface="+mn-lt"/>
              <a:ea typeface="+mn-ea"/>
              <a:cs typeface="+mn-cs"/>
            </a:rPr>
            <a:t>的回报率</a:t>
          </a:r>
          <a:r>
            <a:rPr lang="zh-CN" altLang="en-US" sz="1100" b="0" i="0" strike="noStrike">
              <a:solidFill>
                <a:srgbClr val="000000"/>
              </a:solidFill>
              <a:latin typeface="宋体"/>
              <a:ea typeface="宋体"/>
            </a:rPr>
            <a:t>，该公寓的售出价应为多少？</a:t>
          </a:r>
        </a:p>
        <a:p>
          <a:pPr algn="l" rtl="0">
            <a:defRPr sz="1000"/>
          </a:pPr>
          <a:endParaRPr lang="zh-CN" altLang="en-US" sz="1000" b="0" i="0" strike="noStrike">
            <a:solidFill>
              <a:srgbClr val="000000"/>
            </a:solidFill>
            <a:latin typeface="宋体"/>
            <a:ea typeface="宋体"/>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304800</xdr:colOff>
      <xdr:row>26</xdr:row>
      <xdr:rowOff>52387</xdr:rowOff>
    </xdr:from>
    <xdr:to>
      <xdr:col>16</xdr:col>
      <xdr:colOff>76200</xdr:colOff>
      <xdr:row>41</xdr:row>
      <xdr:rowOff>80962</xdr:rowOff>
    </xdr:to>
    <xdr:graphicFrame macro="">
      <xdr:nvGraphicFramePr>
        <xdr:cNvPr id="3" name="图表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0</xdr:row>
      <xdr:rowOff>0</xdr:rowOff>
    </xdr:from>
    <xdr:to>
      <xdr:col>14</xdr:col>
      <xdr:colOff>238126</xdr:colOff>
      <xdr:row>23</xdr:row>
      <xdr:rowOff>104775</xdr:rowOff>
    </xdr:to>
    <xdr:sp macro="" textlink="">
      <xdr:nvSpPr>
        <xdr:cNvPr id="7" name="Text Box 1"/>
        <xdr:cNvSpPr txBox="1">
          <a:spLocks noChangeArrowheads="1"/>
        </xdr:cNvSpPr>
      </xdr:nvSpPr>
      <xdr:spPr bwMode="auto">
        <a:xfrm>
          <a:off x="5943600" y="0"/>
          <a:ext cx="6086476" cy="4267200"/>
        </a:xfrm>
        <a:prstGeom prst="rect">
          <a:avLst/>
        </a:prstGeom>
        <a:solidFill>
          <a:srgbClr val="CCFFFF"/>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4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5</a:t>
          </a:r>
          <a:r>
            <a:rPr lang="zh-CN" altLang="en-US" sz="1200" b="1" i="0" u="none" strike="noStrike" baseline="0">
              <a:solidFill>
                <a:srgbClr val="000000"/>
              </a:solidFill>
              <a:latin typeface="宋体"/>
              <a:ea typeface="宋体"/>
            </a:rPr>
            <a:t>题</a:t>
          </a:r>
          <a:r>
            <a:rPr lang="en-US" altLang="zh-CN" sz="1200" b="1" i="0" u="none" strike="noStrike" baseline="0">
              <a:solidFill>
                <a:srgbClr val="000000"/>
              </a:solidFill>
              <a:latin typeface="宋体"/>
              <a:ea typeface="宋体"/>
            </a:rPr>
            <a:t>(15</a:t>
          </a:r>
          <a:r>
            <a:rPr lang="zh-CN" altLang="en-US" sz="1200" b="1" i="0" u="none" strike="noStrike" baseline="0">
              <a:solidFill>
                <a:srgbClr val="000000"/>
              </a:solidFill>
              <a:latin typeface="宋体"/>
              <a:ea typeface="宋体"/>
            </a:rPr>
            <a:t>分</a:t>
          </a:r>
          <a:r>
            <a:rPr lang="en-US" altLang="zh-CN" sz="1200" b="1" i="0" u="none" strike="noStrike" baseline="0">
              <a:solidFill>
                <a:srgbClr val="000000"/>
              </a:solidFill>
              <a:latin typeface="宋体"/>
              <a:ea typeface="宋体"/>
            </a:rPr>
            <a:t>)</a:t>
          </a:r>
          <a:r>
            <a:rPr lang="zh-CN" altLang="en-US" sz="1200" b="0" i="0" u="none" strike="noStrike" baseline="0">
              <a:solidFill>
                <a:srgbClr val="000000"/>
              </a:solidFill>
              <a:latin typeface="宋体"/>
              <a:ea typeface="宋体"/>
            </a:rPr>
            <a:t>现有两个投资项目</a:t>
          </a:r>
          <a:r>
            <a:rPr lang="en-US" altLang="zh-CN" sz="1200" b="0" i="0" u="none" strike="noStrike" baseline="0">
              <a:solidFill>
                <a:srgbClr val="000000"/>
              </a:solidFill>
              <a:latin typeface="宋体"/>
              <a:ea typeface="宋体"/>
            </a:rPr>
            <a:t>A</a:t>
          </a:r>
          <a:r>
            <a:rPr lang="zh-CN" altLang="en-US" sz="1200" b="0" i="0" u="none" strike="noStrike" baseline="0">
              <a:solidFill>
                <a:srgbClr val="000000"/>
              </a:solidFill>
              <a:latin typeface="宋体"/>
              <a:ea typeface="宋体"/>
            </a:rPr>
            <a:t>和</a:t>
          </a:r>
          <a:r>
            <a:rPr lang="en-US" altLang="zh-CN" sz="1200" b="0" i="0" u="none" strike="noStrike" baseline="0">
              <a:solidFill>
                <a:srgbClr val="000000"/>
              </a:solidFill>
              <a:latin typeface="宋体"/>
              <a:ea typeface="宋体"/>
            </a:rPr>
            <a:t>B</a:t>
          </a:r>
          <a:r>
            <a:rPr lang="zh-CN" altLang="en-US" sz="1200" b="0" i="0" u="none" strike="noStrike" baseline="0">
              <a:solidFill>
                <a:srgbClr val="000000"/>
              </a:solidFill>
              <a:latin typeface="宋体"/>
              <a:ea typeface="宋体"/>
            </a:rPr>
            <a:t>，初始投资额都是</a:t>
          </a:r>
          <a:r>
            <a:rPr lang="en-US" altLang="zh-CN" sz="1200" b="0" i="0" u="none" strike="noStrike" baseline="0">
              <a:solidFill>
                <a:srgbClr val="000000"/>
              </a:solidFill>
              <a:latin typeface="宋体"/>
              <a:ea typeface="宋体"/>
            </a:rPr>
            <a:t>50</a:t>
          </a:r>
          <a:r>
            <a:rPr lang="zh-CN" altLang="en-US" sz="1200" b="0" i="0" u="none" strike="noStrike" baseline="0">
              <a:solidFill>
                <a:srgbClr val="000000"/>
              </a:solidFill>
              <a:latin typeface="宋体"/>
              <a:ea typeface="宋体"/>
            </a:rPr>
            <a:t>万元，项目</a:t>
          </a:r>
          <a:r>
            <a:rPr lang="en-US" altLang="zh-CN" sz="1200" b="0" i="0" u="none" strike="noStrike" baseline="0">
              <a:solidFill>
                <a:srgbClr val="000000"/>
              </a:solidFill>
              <a:latin typeface="宋体"/>
              <a:ea typeface="宋体"/>
            </a:rPr>
            <a:t>A</a:t>
          </a:r>
          <a:r>
            <a:rPr lang="zh-CN" altLang="en-US" sz="1200" b="0" i="0" u="none" strike="noStrike" baseline="0">
              <a:solidFill>
                <a:srgbClr val="000000"/>
              </a:solidFill>
              <a:latin typeface="宋体"/>
              <a:ea typeface="宋体"/>
            </a:rPr>
            <a:t>在 随后的</a:t>
          </a:r>
          <a:r>
            <a:rPr lang="en-US" altLang="zh-CN" sz="1200" b="0" i="0" u="none" strike="noStrike" baseline="0">
              <a:solidFill>
                <a:srgbClr val="000000"/>
              </a:solidFill>
              <a:latin typeface="宋体"/>
              <a:ea typeface="宋体"/>
            </a:rPr>
            <a:t>10</a:t>
          </a:r>
          <a:r>
            <a:rPr lang="zh-CN" altLang="en-US" sz="1200" b="0" i="0" u="none" strike="noStrike" baseline="0">
              <a:solidFill>
                <a:srgbClr val="000000"/>
              </a:solidFill>
              <a:latin typeface="宋体"/>
              <a:ea typeface="宋体"/>
            </a:rPr>
            <a:t>年，每年末可获得</a:t>
          </a:r>
          <a:r>
            <a:rPr lang="en-US" altLang="zh-CN" sz="1200" b="0" i="0" u="none" strike="noStrike" baseline="0">
              <a:solidFill>
                <a:srgbClr val="000000"/>
              </a:solidFill>
              <a:latin typeface="宋体"/>
              <a:ea typeface="宋体"/>
            </a:rPr>
            <a:t>90000</a:t>
          </a:r>
          <a:r>
            <a:rPr lang="zh-CN" altLang="en-US" sz="1200" b="0" i="0" u="none" strike="noStrike" baseline="0">
              <a:solidFill>
                <a:srgbClr val="000000"/>
              </a:solidFill>
              <a:latin typeface="宋体"/>
              <a:ea typeface="宋体"/>
            </a:rPr>
            <a:t>元的收入，项目</a:t>
          </a:r>
          <a:r>
            <a:rPr lang="en-US" altLang="zh-CN" sz="1200" b="0" i="0" u="none" strike="noStrike" baseline="0">
              <a:solidFill>
                <a:srgbClr val="000000"/>
              </a:solidFill>
              <a:latin typeface="宋体"/>
              <a:ea typeface="宋体"/>
            </a:rPr>
            <a:t>B</a:t>
          </a:r>
          <a:r>
            <a:rPr lang="zh-CN" altLang="en-US" sz="1200" b="0" i="0" u="none" strike="noStrike" baseline="0">
              <a:solidFill>
                <a:srgbClr val="000000"/>
              </a:solidFill>
              <a:latin typeface="宋体"/>
              <a:ea typeface="宋体"/>
            </a:rPr>
            <a:t>则只在第</a:t>
          </a:r>
          <a:r>
            <a:rPr lang="en-US" altLang="zh-CN" sz="1200" b="0" i="0" u="none" strike="noStrike" baseline="0">
              <a:solidFill>
                <a:srgbClr val="000000"/>
              </a:solidFill>
              <a:latin typeface="宋体"/>
              <a:ea typeface="宋体"/>
            </a:rPr>
            <a:t>10</a:t>
          </a:r>
          <a:r>
            <a:rPr lang="zh-CN" altLang="en-US" sz="1200" b="0" i="0" u="none" strike="noStrike" baseline="0">
              <a:solidFill>
                <a:srgbClr val="000000"/>
              </a:solidFill>
              <a:latin typeface="宋体"/>
              <a:ea typeface="宋体"/>
            </a:rPr>
            <a:t>年末一次性获得</a:t>
          </a:r>
          <a:r>
            <a:rPr lang="en-US" altLang="zh-CN" sz="1200" b="0" i="0" u="none" strike="noStrike" baseline="0">
              <a:solidFill>
                <a:srgbClr val="000000"/>
              </a:solidFill>
              <a:latin typeface="宋体"/>
              <a:ea typeface="宋体"/>
            </a:rPr>
            <a:t>140</a:t>
          </a:r>
          <a:r>
            <a:rPr lang="zh-CN" altLang="en-US" sz="1200" b="0" i="0" u="none" strike="noStrike" baseline="0">
              <a:solidFill>
                <a:srgbClr val="000000"/>
              </a:solidFill>
              <a:latin typeface="宋体"/>
              <a:ea typeface="宋体"/>
            </a:rPr>
            <a:t>万元的收入。假定贴现率为</a:t>
          </a:r>
          <a:r>
            <a:rPr lang="en-US" altLang="zh-CN" sz="1200" b="0" i="0" u="none" strike="noStrike" baseline="0">
              <a:solidFill>
                <a:srgbClr val="000000"/>
              </a:solidFill>
              <a:latin typeface="宋体"/>
              <a:ea typeface="宋体"/>
            </a:rPr>
            <a:t>9% </a:t>
          </a:r>
          <a:r>
            <a:rPr lang="zh-CN" altLang="en-US" sz="1200" b="0" i="0" u="none" strike="noStrike" baseline="0">
              <a:solidFill>
                <a:srgbClr val="000000"/>
              </a:solidFill>
              <a:latin typeface="宋体"/>
              <a:ea typeface="宋体"/>
            </a:rPr>
            <a:t>，要求：</a:t>
          </a:r>
        </a:p>
        <a:p>
          <a:pPr algn="l" rtl="0">
            <a:lnSpc>
              <a:spcPts val="1400"/>
            </a:lnSpc>
            <a:defRPr sz="1000"/>
          </a:pPr>
          <a:r>
            <a:rPr lang="en-US" altLang="zh-CN" sz="1200" b="0" i="0" u="none" strike="noStrike" baseline="0">
              <a:solidFill>
                <a:srgbClr val="000000"/>
              </a:solidFill>
              <a:latin typeface="宋体"/>
              <a:ea typeface="宋体"/>
            </a:rPr>
            <a:t>1</a:t>
          </a:r>
          <a:r>
            <a:rPr lang="zh-CN" altLang="en-US" sz="1200" b="0" i="0" u="none" strike="noStrike" baseline="0">
              <a:solidFill>
                <a:srgbClr val="000000"/>
              </a:solidFill>
              <a:latin typeface="宋体"/>
              <a:ea typeface="宋体"/>
            </a:rPr>
            <a:t>、计算两个投资项目的净现值；</a:t>
          </a:r>
        </a:p>
        <a:p>
          <a:pPr algn="l" rtl="0">
            <a:lnSpc>
              <a:spcPts val="1400"/>
            </a:lnSpc>
            <a:defRPr sz="1000"/>
          </a:pPr>
          <a:r>
            <a:rPr lang="en-US" altLang="zh-CN" sz="1200" b="0" i="0" u="none" strike="noStrike" baseline="0">
              <a:solidFill>
                <a:srgbClr val="000000"/>
              </a:solidFill>
              <a:latin typeface="宋体"/>
              <a:ea typeface="宋体"/>
            </a:rPr>
            <a:t>2</a:t>
          </a:r>
          <a:r>
            <a:rPr lang="zh-CN" altLang="en-US" sz="1200" b="0" i="0" u="none" strike="noStrike" baseline="0">
              <a:solidFill>
                <a:srgbClr val="000000"/>
              </a:solidFill>
              <a:latin typeface="宋体"/>
              <a:ea typeface="宋体"/>
            </a:rPr>
            <a:t>、计算两个投资项目的内部报酬率；</a:t>
          </a:r>
        </a:p>
        <a:p>
          <a:pPr algn="l" rtl="0">
            <a:lnSpc>
              <a:spcPts val="1400"/>
            </a:lnSpc>
            <a:defRPr sz="1000"/>
          </a:pPr>
          <a:r>
            <a:rPr lang="en-US" altLang="zh-CN" sz="1200" b="0" i="0" u="none" strike="noStrike" baseline="0">
              <a:solidFill>
                <a:srgbClr val="000000"/>
              </a:solidFill>
              <a:latin typeface="宋体"/>
              <a:ea typeface="宋体"/>
            </a:rPr>
            <a:t>3</a:t>
          </a:r>
          <a:r>
            <a:rPr lang="zh-CN" altLang="en-US" sz="1200" b="0" i="0" u="none" strike="noStrike" baseline="0">
              <a:solidFill>
                <a:srgbClr val="000000"/>
              </a:solidFill>
              <a:latin typeface="宋体"/>
              <a:ea typeface="宋体"/>
            </a:rPr>
            <a:t>、利用</a:t>
          </a:r>
          <a:r>
            <a:rPr lang="en-US" altLang="zh-CN" sz="1200" b="0" i="0" u="none" strike="noStrike" baseline="0">
              <a:solidFill>
                <a:srgbClr val="000000"/>
              </a:solidFill>
              <a:latin typeface="宋体"/>
              <a:ea typeface="宋体"/>
            </a:rPr>
            <a:t>IF</a:t>
          </a:r>
          <a:r>
            <a:rPr lang="zh-CN" altLang="en-US" sz="1200" b="0" i="0" u="none" strike="noStrike" baseline="0">
              <a:solidFill>
                <a:srgbClr val="000000"/>
              </a:solidFill>
              <a:latin typeface="宋体"/>
              <a:ea typeface="宋体"/>
            </a:rPr>
            <a:t>函数在单元格内得出“项目</a:t>
          </a:r>
          <a:r>
            <a:rPr lang="en-US" altLang="zh-CN" sz="1200" b="0" i="0" u="none" strike="noStrike" baseline="0">
              <a:solidFill>
                <a:srgbClr val="000000"/>
              </a:solidFill>
              <a:latin typeface="宋体"/>
              <a:ea typeface="宋体"/>
            </a:rPr>
            <a:t>A</a:t>
          </a:r>
          <a:r>
            <a:rPr lang="zh-CN" altLang="en-US" sz="1200" b="0" i="0" u="none" strike="noStrike" baseline="0">
              <a:solidFill>
                <a:srgbClr val="000000"/>
              </a:solidFill>
              <a:latin typeface="宋体"/>
              <a:ea typeface="宋体"/>
            </a:rPr>
            <a:t>较优”或“项目</a:t>
          </a:r>
          <a:r>
            <a:rPr lang="en-US" altLang="zh-CN" sz="1200" b="0" i="0" u="none" strike="noStrike" baseline="0">
              <a:solidFill>
                <a:srgbClr val="000000"/>
              </a:solidFill>
              <a:latin typeface="宋体"/>
              <a:ea typeface="宋体"/>
            </a:rPr>
            <a:t>B</a:t>
          </a:r>
          <a:r>
            <a:rPr lang="zh-CN" altLang="en-US" sz="1200" b="0" i="0" u="none" strike="noStrike" baseline="0">
              <a:solidFill>
                <a:srgbClr val="000000"/>
              </a:solidFill>
              <a:latin typeface="宋体"/>
              <a:ea typeface="宋体"/>
            </a:rPr>
            <a:t>较优”或“相等”的结论；</a:t>
          </a:r>
        </a:p>
        <a:p>
          <a:pPr rtl="0"/>
          <a:r>
            <a:rPr lang="en-US" altLang="zh-CN" sz="1200" b="0" i="0" u="none" strike="noStrike" baseline="0">
              <a:solidFill>
                <a:srgbClr val="000000"/>
              </a:solidFill>
              <a:latin typeface="宋体"/>
              <a:ea typeface="宋体"/>
            </a:rPr>
            <a:t>4</a:t>
          </a:r>
          <a:r>
            <a:rPr lang="zh-CN" altLang="en-US" sz="1200" b="0" i="0" u="none" strike="noStrike" baseline="0">
              <a:solidFill>
                <a:srgbClr val="000000"/>
              </a:solidFill>
              <a:latin typeface="宋体"/>
              <a:ea typeface="宋体"/>
            </a:rPr>
            <a:t>、</a:t>
          </a:r>
          <a:r>
            <a:rPr lang="zh-CN" altLang="zh-CN" sz="1200" b="0" i="0" baseline="0">
              <a:effectLst/>
              <a:latin typeface="+mn-lt"/>
              <a:ea typeface="+mn-ea"/>
              <a:cs typeface="+mn-cs"/>
            </a:rPr>
            <a:t>利用模拟运算表生成自变量</a:t>
          </a:r>
          <a:r>
            <a:rPr lang="en-US" altLang="zh-CN" sz="1200" b="0" i="0" baseline="0">
              <a:effectLst/>
              <a:latin typeface="+mn-lt"/>
              <a:ea typeface="+mn-ea"/>
              <a:cs typeface="+mn-cs"/>
            </a:rPr>
            <a:t>-</a:t>
          </a:r>
          <a:r>
            <a:rPr lang="zh-CN" altLang="zh-CN" sz="1200" b="0" i="0" baseline="0">
              <a:effectLst/>
              <a:latin typeface="+mn-lt"/>
              <a:ea typeface="+mn-ea"/>
              <a:cs typeface="+mn-cs"/>
            </a:rPr>
            <a:t>函数对照表，用查表加内插的方法再次求出使</a:t>
          </a:r>
          <a:r>
            <a:rPr lang="en-US" altLang="zh-CN" sz="1200" b="0" i="0" baseline="0">
              <a:effectLst/>
              <a:latin typeface="+mn-lt"/>
              <a:ea typeface="+mn-ea"/>
              <a:cs typeface="+mn-cs"/>
            </a:rPr>
            <a:t>A</a:t>
          </a:r>
          <a:r>
            <a:rPr lang="zh-CN" altLang="zh-CN" sz="1200" b="0" i="0" baseline="0">
              <a:effectLst/>
              <a:latin typeface="+mn-lt"/>
              <a:ea typeface="+mn-ea"/>
              <a:cs typeface="+mn-cs"/>
            </a:rPr>
            <a:t>、</a:t>
          </a:r>
          <a:r>
            <a:rPr lang="en-US" altLang="zh-CN" sz="1200" b="0" i="0" baseline="0">
              <a:effectLst/>
              <a:latin typeface="+mn-lt"/>
              <a:ea typeface="+mn-ea"/>
              <a:cs typeface="+mn-cs"/>
            </a:rPr>
            <a:t>B</a:t>
          </a:r>
          <a:r>
            <a:rPr lang="zh-CN" altLang="zh-CN" sz="1200" b="0" i="0" baseline="0">
              <a:effectLst/>
              <a:latin typeface="+mn-lt"/>
              <a:ea typeface="+mn-ea"/>
              <a:cs typeface="+mn-cs"/>
            </a:rPr>
            <a:t>两个项目的净现值相等的贴现率。</a:t>
          </a:r>
          <a:r>
            <a:rPr lang="en-US" altLang="zh-CN" sz="1200" b="0" i="0" baseline="0">
              <a:effectLst/>
              <a:latin typeface="+mn-lt"/>
              <a:ea typeface="+mn-ea"/>
              <a:cs typeface="+mn-cs"/>
            </a:rPr>
            <a:t>(</a:t>
          </a:r>
          <a:r>
            <a:rPr lang="zh-CN" altLang="zh-CN" sz="1200" b="0" i="0" baseline="0">
              <a:effectLst/>
              <a:latin typeface="+mn-lt"/>
              <a:ea typeface="+mn-ea"/>
              <a:cs typeface="+mn-cs"/>
            </a:rPr>
            <a:t>贴现率的变化范围为</a:t>
          </a:r>
          <a:r>
            <a:rPr lang="en-US" altLang="zh-CN" sz="1200" b="0" i="0" baseline="0">
              <a:effectLst/>
              <a:latin typeface="+mn-lt"/>
              <a:ea typeface="+mn-ea"/>
              <a:cs typeface="+mn-cs"/>
            </a:rPr>
            <a:t>1%—20%</a:t>
          </a:r>
          <a:r>
            <a:rPr lang="zh-CN" altLang="zh-CN" sz="1200" b="0" i="0" baseline="0">
              <a:effectLst/>
              <a:latin typeface="+mn-lt"/>
              <a:ea typeface="+mn-ea"/>
              <a:cs typeface="+mn-cs"/>
            </a:rPr>
            <a:t>，间隔为</a:t>
          </a:r>
          <a:r>
            <a:rPr lang="en-US" altLang="zh-CN" sz="1200" b="0" i="0" baseline="0">
              <a:effectLst/>
              <a:latin typeface="+mn-lt"/>
              <a:ea typeface="+mn-ea"/>
              <a:cs typeface="+mn-cs"/>
            </a:rPr>
            <a:t>1%</a:t>
          </a:r>
          <a:r>
            <a:rPr lang="zh-CN" altLang="zh-CN" sz="1200" b="0" i="0" baseline="0">
              <a:effectLst/>
              <a:latin typeface="+mn-lt"/>
              <a:ea typeface="+mn-ea"/>
              <a:cs typeface="+mn-cs"/>
            </a:rPr>
            <a:t>。</a:t>
          </a:r>
          <a:r>
            <a:rPr lang="en-US" altLang="zh-CN" sz="1200" b="0" i="0" baseline="0">
              <a:effectLst/>
              <a:latin typeface="+mn-lt"/>
              <a:ea typeface="+mn-ea"/>
              <a:cs typeface="+mn-cs"/>
            </a:rPr>
            <a:t>)</a:t>
          </a:r>
          <a:endParaRPr lang="zh-CN" altLang="zh-CN" sz="1200">
            <a:effectLst/>
          </a:endParaRPr>
        </a:p>
        <a:p>
          <a:pPr rtl="0"/>
          <a:r>
            <a:rPr lang="en-US" altLang="zh-CN" sz="1200" b="0" i="0" baseline="0">
              <a:effectLst/>
              <a:latin typeface="+mn-lt"/>
              <a:ea typeface="+mn-ea"/>
              <a:cs typeface="+mn-cs"/>
            </a:rPr>
            <a:t>5</a:t>
          </a:r>
          <a:r>
            <a:rPr lang="zh-CN" altLang="zh-CN" sz="1200" b="0" i="0" baseline="0">
              <a:effectLst/>
              <a:latin typeface="+mn-lt"/>
              <a:ea typeface="+mn-ea"/>
              <a:cs typeface="+mn-cs"/>
            </a:rPr>
            <a:t>、制作项目</a:t>
          </a:r>
          <a:r>
            <a:rPr lang="en-US" altLang="zh-CN" sz="1200" b="0" i="0" baseline="0">
              <a:effectLst/>
              <a:latin typeface="+mn-lt"/>
              <a:ea typeface="+mn-ea"/>
              <a:cs typeface="+mn-cs"/>
            </a:rPr>
            <a:t>A</a:t>
          </a:r>
          <a:r>
            <a:rPr lang="zh-CN" altLang="zh-CN" sz="1200" b="0" i="0" baseline="0">
              <a:effectLst/>
              <a:latin typeface="+mn-lt"/>
              <a:ea typeface="+mn-ea"/>
              <a:cs typeface="+mn-cs"/>
            </a:rPr>
            <a:t>和项目</a:t>
          </a:r>
          <a:r>
            <a:rPr lang="en-US" altLang="zh-CN" sz="1200" b="0" i="0" baseline="0">
              <a:effectLst/>
              <a:latin typeface="+mn-lt"/>
              <a:ea typeface="+mn-ea"/>
              <a:cs typeface="+mn-cs"/>
            </a:rPr>
            <a:t>B</a:t>
          </a:r>
          <a:r>
            <a:rPr lang="zh-CN" altLang="zh-CN" sz="1200" b="0" i="0" baseline="0">
              <a:effectLst/>
              <a:latin typeface="+mn-lt"/>
              <a:ea typeface="+mn-ea"/>
              <a:cs typeface="+mn-cs"/>
            </a:rPr>
            <a:t>随贴现率变化的图形。</a:t>
          </a:r>
          <a:endParaRPr lang="zh-CN" altLang="zh-CN" sz="1200">
            <a:effectLst/>
          </a:endParaRPr>
        </a:p>
      </xdr:txBody>
    </xdr:sp>
    <xdr:clientData/>
  </xdr:twoCellAnchor>
  <xdr:twoCellAnchor editAs="oneCell">
    <xdr:from>
      <xdr:col>7</xdr:col>
      <xdr:colOff>66676</xdr:colOff>
      <xdr:row>9</xdr:row>
      <xdr:rowOff>123825</xdr:rowOff>
    </xdr:from>
    <xdr:to>
      <xdr:col>13</xdr:col>
      <xdr:colOff>457201</xdr:colOff>
      <xdr:row>22</xdr:row>
      <xdr:rowOff>172718</xdr:rowOff>
    </xdr:to>
    <xdr:pic>
      <xdr:nvPicPr>
        <xdr:cNvPr id="8" name="图片 7"/>
        <xdr:cNvPicPr>
          <a:picLocks noChangeAspect="1"/>
        </xdr:cNvPicPr>
      </xdr:nvPicPr>
      <xdr:blipFill>
        <a:blip xmlns:r="http://schemas.openxmlformats.org/officeDocument/2006/relationships" r:embed="rId2"/>
        <a:stretch>
          <a:fillRect/>
        </a:stretch>
      </xdr:blipFill>
      <xdr:spPr>
        <a:xfrm>
          <a:off x="6791326" y="1752600"/>
          <a:ext cx="4772025" cy="240156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304800</xdr:colOff>
      <xdr:row>1</xdr:row>
      <xdr:rowOff>114300</xdr:rowOff>
    </xdr:from>
    <xdr:to>
      <xdr:col>12</xdr:col>
      <xdr:colOff>161925</xdr:colOff>
      <xdr:row>16</xdr:row>
      <xdr:rowOff>47625</xdr:rowOff>
    </xdr:to>
    <xdr:sp macro="" textlink="">
      <xdr:nvSpPr>
        <xdr:cNvPr id="2" name="Text Box 2"/>
        <xdr:cNvSpPr txBox="1">
          <a:spLocks noChangeArrowheads="1"/>
        </xdr:cNvSpPr>
      </xdr:nvSpPr>
      <xdr:spPr bwMode="auto">
        <a:xfrm>
          <a:off x="6162675" y="285750"/>
          <a:ext cx="4905375" cy="2505075"/>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6</a:t>
          </a:r>
          <a:r>
            <a:rPr lang="zh-CN" altLang="en-US" sz="1100" b="1" i="0" u="none" strike="noStrike" baseline="0">
              <a:solidFill>
                <a:srgbClr val="000000"/>
              </a:solidFill>
              <a:latin typeface="宋体"/>
              <a:ea typeface="宋体"/>
            </a:rPr>
            <a:t>题</a:t>
          </a:r>
          <a:r>
            <a:rPr lang="zh-CN" altLang="en-US" sz="1100" b="0" i="0" u="none" strike="noStrike" baseline="0">
              <a:solidFill>
                <a:srgbClr val="000000"/>
              </a:solidFill>
              <a:latin typeface="宋体"/>
              <a:ea typeface="宋体"/>
            </a:rPr>
            <a:t>　某学校需要集体采购“微观经济学”、“宏观经济学”两种教材各</a:t>
          </a:r>
          <a:r>
            <a:rPr lang="en-US" altLang="zh-CN" sz="1100" b="0" i="0" u="none" strike="noStrike" baseline="0">
              <a:solidFill>
                <a:srgbClr val="000000"/>
              </a:solidFill>
              <a:latin typeface="宋体"/>
              <a:ea typeface="宋体"/>
            </a:rPr>
            <a:t>200</a:t>
          </a:r>
          <a:r>
            <a:rPr lang="zh-CN" altLang="en-US" sz="1100" b="0" i="0" u="none" strike="noStrike" baseline="0">
              <a:solidFill>
                <a:srgbClr val="000000"/>
              </a:solidFill>
              <a:latin typeface="宋体"/>
              <a:ea typeface="宋体"/>
            </a:rPr>
            <a:t>本。现有三家书店有这两种教材供应，但每家书店两种教材的库存量都无法满足该学校的需求量，学校需要分别从这三家书店采购。三家书店承诺若一次购买量超过</a:t>
          </a:r>
          <a:r>
            <a:rPr lang="en-US" altLang="zh-CN" sz="1100" b="0" i="0" u="none" strike="noStrike" baseline="0">
              <a:solidFill>
                <a:srgbClr val="000000"/>
              </a:solidFill>
              <a:latin typeface="宋体"/>
              <a:ea typeface="宋体"/>
            </a:rPr>
            <a:t>50</a:t>
          </a:r>
          <a:r>
            <a:rPr lang="zh-CN" altLang="en-US" sz="1100" b="0" i="0" u="none" strike="noStrike" baseline="0">
              <a:solidFill>
                <a:srgbClr val="000000"/>
              </a:solidFill>
              <a:latin typeface="宋体"/>
              <a:ea typeface="宋体"/>
            </a:rPr>
            <a:t>本可享受价格优惠。三家书店教材的库存量和价格折扣如下表所示：</a:t>
          </a: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r>
            <a:rPr lang="zh-CN" altLang="en-US" sz="1100" b="0" i="0" u="none" strike="noStrike" baseline="0">
              <a:solidFill>
                <a:srgbClr val="000000"/>
              </a:solidFill>
              <a:latin typeface="宋体"/>
              <a:ea typeface="宋体"/>
            </a:rPr>
            <a:t>已知“微观经济学”的单价为</a:t>
          </a:r>
          <a:r>
            <a:rPr lang="en-US" altLang="zh-CN" sz="1100" b="0" i="0" u="none" strike="noStrike" baseline="0">
              <a:solidFill>
                <a:srgbClr val="000000"/>
              </a:solidFill>
              <a:latin typeface="宋体"/>
              <a:ea typeface="宋体"/>
            </a:rPr>
            <a:t>28</a:t>
          </a:r>
          <a:r>
            <a:rPr lang="zh-CN" altLang="en-US" sz="1100" b="0" i="0" u="none" strike="noStrike" baseline="0">
              <a:solidFill>
                <a:srgbClr val="000000"/>
              </a:solidFill>
              <a:latin typeface="宋体"/>
              <a:ea typeface="宋体"/>
            </a:rPr>
            <a:t>元，“宏观经济学”的单价为</a:t>
          </a:r>
          <a:r>
            <a:rPr lang="en-US" altLang="zh-CN" sz="1100" b="0" i="0" u="none" strike="noStrike" baseline="0">
              <a:solidFill>
                <a:srgbClr val="000000"/>
              </a:solidFill>
              <a:latin typeface="宋体"/>
              <a:ea typeface="宋体"/>
            </a:rPr>
            <a:t>25</a:t>
          </a:r>
          <a:r>
            <a:rPr lang="zh-CN" altLang="en-US" sz="1100" b="0" i="0" u="none" strike="noStrike" baseline="0">
              <a:solidFill>
                <a:srgbClr val="000000"/>
              </a:solidFill>
              <a:latin typeface="宋体"/>
              <a:ea typeface="宋体"/>
            </a:rPr>
            <a:t>元。</a:t>
          </a:r>
        </a:p>
        <a:p>
          <a:pPr algn="l" rtl="0">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、利用“规划求解”工具确定如何安排采购计划，可使学校购买这两种教材的费用最小？</a:t>
          </a:r>
        </a:p>
        <a:p>
          <a:pPr algn="l" rtl="0">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、将规划求解的模型设置保存在从</a:t>
          </a:r>
          <a:r>
            <a:rPr lang="en-US" altLang="zh-CN" sz="1100" b="0" i="0" u="none" strike="noStrike" baseline="0">
              <a:solidFill>
                <a:srgbClr val="000000"/>
              </a:solidFill>
              <a:latin typeface="宋体"/>
              <a:ea typeface="宋体"/>
            </a:rPr>
            <a:t>A1</a:t>
          </a:r>
          <a:r>
            <a:rPr lang="zh-CN" altLang="en-US" sz="1100" b="0" i="0" u="none" strike="noStrike" baseline="0">
              <a:solidFill>
                <a:srgbClr val="000000"/>
              </a:solidFill>
              <a:latin typeface="宋体"/>
              <a:ea typeface="宋体"/>
            </a:rPr>
            <a:t>开始的单元内。</a:t>
          </a:r>
        </a:p>
      </xdr:txBody>
    </xdr:sp>
    <xdr:clientData/>
  </xdr:twoCellAnchor>
  <xdr:twoCellAnchor editAs="oneCell">
    <xdr:from>
      <xdr:col>8</xdr:col>
      <xdr:colOff>161925</xdr:colOff>
      <xdr:row>6</xdr:row>
      <xdr:rowOff>152400</xdr:rowOff>
    </xdr:from>
    <xdr:to>
      <xdr:col>11</xdr:col>
      <xdr:colOff>304800</xdr:colOff>
      <xdr:row>11</xdr:row>
      <xdr:rowOff>9525</xdr:rowOff>
    </xdr:to>
    <xdr:pic>
      <xdr:nvPicPr>
        <xdr:cNvPr id="3"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7029450" y="1181100"/>
          <a:ext cx="3171825" cy="714375"/>
        </a:xfrm>
        <a:prstGeom prst="rect">
          <a:avLst/>
        </a:prstGeom>
        <a:noFill/>
      </xdr:spPr>
    </xdr:pic>
    <xdr:clientData/>
  </xdr:twoCellAnchor>
  <xdr:twoCellAnchor>
    <xdr:from>
      <xdr:col>2</xdr:col>
      <xdr:colOff>552450</xdr:colOff>
      <xdr:row>16</xdr:row>
      <xdr:rowOff>38100</xdr:rowOff>
    </xdr:from>
    <xdr:to>
      <xdr:col>6</xdr:col>
      <xdr:colOff>657225</xdr:colOff>
      <xdr:row>20</xdr:row>
      <xdr:rowOff>133350</xdr:rowOff>
    </xdr:to>
    <xdr:sp macro="" textlink="">
      <xdr:nvSpPr>
        <xdr:cNvPr id="4" name="TextBox 3"/>
        <xdr:cNvSpPr txBox="1"/>
      </xdr:nvSpPr>
      <xdr:spPr>
        <a:xfrm>
          <a:off x="2105025" y="2781300"/>
          <a:ext cx="340042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zh-CN" altLang="en-US" sz="1100"/>
            <a:t>认为单店合计</a:t>
          </a:r>
          <a:r>
            <a:rPr lang="zh-CN" altLang="en-US" sz="1100" baseline="0"/>
            <a:t> 达</a:t>
          </a:r>
          <a:r>
            <a:rPr lang="en-US" altLang="zh-CN" sz="1100" baseline="0"/>
            <a:t>50</a:t>
          </a:r>
          <a:endParaRPr lang="zh-CN"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304800</xdr:colOff>
      <xdr:row>1</xdr:row>
      <xdr:rowOff>114300</xdr:rowOff>
    </xdr:from>
    <xdr:to>
      <xdr:col>12</xdr:col>
      <xdr:colOff>161925</xdr:colOff>
      <xdr:row>16</xdr:row>
      <xdr:rowOff>47625</xdr:rowOff>
    </xdr:to>
    <xdr:sp macro="" textlink="">
      <xdr:nvSpPr>
        <xdr:cNvPr id="2" name="Text Box 2"/>
        <xdr:cNvSpPr txBox="1">
          <a:spLocks noChangeArrowheads="1"/>
        </xdr:cNvSpPr>
      </xdr:nvSpPr>
      <xdr:spPr bwMode="auto">
        <a:xfrm>
          <a:off x="6162675" y="285750"/>
          <a:ext cx="4905375" cy="2505075"/>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6</a:t>
          </a:r>
          <a:r>
            <a:rPr lang="zh-CN" altLang="en-US" sz="1100" b="1" i="0" u="none" strike="noStrike" baseline="0">
              <a:solidFill>
                <a:srgbClr val="000000"/>
              </a:solidFill>
              <a:latin typeface="宋体"/>
              <a:ea typeface="宋体"/>
            </a:rPr>
            <a:t>题</a:t>
          </a:r>
          <a:r>
            <a:rPr lang="zh-CN" altLang="en-US" sz="1100" b="0" i="0" u="none" strike="noStrike" baseline="0">
              <a:solidFill>
                <a:srgbClr val="000000"/>
              </a:solidFill>
              <a:latin typeface="宋体"/>
              <a:ea typeface="宋体"/>
            </a:rPr>
            <a:t>　某学校需要集体采购“微观经济学”、“宏观经济学”两种教材各</a:t>
          </a:r>
          <a:r>
            <a:rPr lang="en-US" altLang="zh-CN" sz="1100" b="0" i="0" u="none" strike="noStrike" baseline="0">
              <a:solidFill>
                <a:srgbClr val="000000"/>
              </a:solidFill>
              <a:latin typeface="宋体"/>
              <a:ea typeface="宋体"/>
            </a:rPr>
            <a:t>200</a:t>
          </a:r>
          <a:r>
            <a:rPr lang="zh-CN" altLang="en-US" sz="1100" b="0" i="0" u="none" strike="noStrike" baseline="0">
              <a:solidFill>
                <a:srgbClr val="000000"/>
              </a:solidFill>
              <a:latin typeface="宋体"/>
              <a:ea typeface="宋体"/>
            </a:rPr>
            <a:t>本。现有三家书店有这两种教材供应，但每家书店两种教材的库存量都无法满足该学校的需求量，学校需要分别从这三家书店采购。三家书店承诺若一次购买量超过</a:t>
          </a:r>
          <a:r>
            <a:rPr lang="en-US" altLang="zh-CN" sz="1100" b="0" i="0" u="none" strike="noStrike" baseline="0">
              <a:solidFill>
                <a:srgbClr val="000000"/>
              </a:solidFill>
              <a:latin typeface="宋体"/>
              <a:ea typeface="宋体"/>
            </a:rPr>
            <a:t>50</a:t>
          </a:r>
          <a:r>
            <a:rPr lang="zh-CN" altLang="en-US" sz="1100" b="0" i="0" u="none" strike="noStrike" baseline="0">
              <a:solidFill>
                <a:srgbClr val="000000"/>
              </a:solidFill>
              <a:latin typeface="宋体"/>
              <a:ea typeface="宋体"/>
            </a:rPr>
            <a:t>本可享受价格优惠。三家书店教材的库存量和价格折扣如下表所示：</a:t>
          </a: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defRPr sz="1000"/>
          </a:pPr>
          <a:r>
            <a:rPr lang="zh-CN" altLang="en-US" sz="1100" b="0" i="0" u="none" strike="noStrike" baseline="0">
              <a:solidFill>
                <a:srgbClr val="000000"/>
              </a:solidFill>
              <a:latin typeface="宋体"/>
              <a:ea typeface="宋体"/>
            </a:rPr>
            <a:t>已知“微观经济学”的单价为</a:t>
          </a:r>
          <a:r>
            <a:rPr lang="en-US" altLang="zh-CN" sz="1100" b="0" i="0" u="none" strike="noStrike" baseline="0">
              <a:solidFill>
                <a:srgbClr val="000000"/>
              </a:solidFill>
              <a:latin typeface="宋体"/>
              <a:ea typeface="宋体"/>
            </a:rPr>
            <a:t>28</a:t>
          </a:r>
          <a:r>
            <a:rPr lang="zh-CN" altLang="en-US" sz="1100" b="0" i="0" u="none" strike="noStrike" baseline="0">
              <a:solidFill>
                <a:srgbClr val="000000"/>
              </a:solidFill>
              <a:latin typeface="宋体"/>
              <a:ea typeface="宋体"/>
            </a:rPr>
            <a:t>元，“宏观经济学”的单价为</a:t>
          </a:r>
          <a:r>
            <a:rPr lang="en-US" altLang="zh-CN" sz="1100" b="0" i="0" u="none" strike="noStrike" baseline="0">
              <a:solidFill>
                <a:srgbClr val="000000"/>
              </a:solidFill>
              <a:latin typeface="宋体"/>
              <a:ea typeface="宋体"/>
            </a:rPr>
            <a:t>25</a:t>
          </a:r>
          <a:r>
            <a:rPr lang="zh-CN" altLang="en-US" sz="1100" b="0" i="0" u="none" strike="noStrike" baseline="0">
              <a:solidFill>
                <a:srgbClr val="000000"/>
              </a:solidFill>
              <a:latin typeface="宋体"/>
              <a:ea typeface="宋体"/>
            </a:rPr>
            <a:t>元。</a:t>
          </a:r>
        </a:p>
        <a:p>
          <a:pPr algn="l" rtl="0">
            <a:defRPr sz="1000"/>
          </a:pPr>
          <a:r>
            <a:rPr lang="en-US" altLang="zh-CN" sz="1100" b="0" i="0" u="none" strike="noStrike" baseline="0">
              <a:solidFill>
                <a:srgbClr val="000000"/>
              </a:solidFill>
              <a:latin typeface="宋体"/>
              <a:ea typeface="宋体"/>
            </a:rPr>
            <a:t>1</a:t>
          </a:r>
          <a:r>
            <a:rPr lang="zh-CN" altLang="en-US" sz="1100" b="0" i="0" u="none" strike="noStrike" baseline="0">
              <a:solidFill>
                <a:srgbClr val="000000"/>
              </a:solidFill>
              <a:latin typeface="宋体"/>
              <a:ea typeface="宋体"/>
            </a:rPr>
            <a:t>、利用“规划求解”工具确定如何安排采购计划，可使学校购买这两种教材的费用最小？</a:t>
          </a:r>
        </a:p>
        <a:p>
          <a:pPr algn="l" rtl="0">
            <a:defRPr sz="1000"/>
          </a:pPr>
          <a:r>
            <a:rPr lang="en-US" altLang="zh-CN" sz="1100" b="0" i="0" u="none" strike="noStrike" baseline="0">
              <a:solidFill>
                <a:srgbClr val="000000"/>
              </a:solidFill>
              <a:latin typeface="宋体"/>
              <a:ea typeface="宋体"/>
            </a:rPr>
            <a:t>2</a:t>
          </a:r>
          <a:r>
            <a:rPr lang="zh-CN" altLang="en-US" sz="1100" b="0" i="0" u="none" strike="noStrike" baseline="0">
              <a:solidFill>
                <a:srgbClr val="000000"/>
              </a:solidFill>
              <a:latin typeface="宋体"/>
              <a:ea typeface="宋体"/>
            </a:rPr>
            <a:t>、将规划求解的模型设置保存在从</a:t>
          </a:r>
          <a:r>
            <a:rPr lang="en-US" altLang="zh-CN" sz="1100" b="0" i="0" u="none" strike="noStrike" baseline="0">
              <a:solidFill>
                <a:srgbClr val="000000"/>
              </a:solidFill>
              <a:latin typeface="宋体"/>
              <a:ea typeface="宋体"/>
            </a:rPr>
            <a:t>A1</a:t>
          </a:r>
          <a:r>
            <a:rPr lang="zh-CN" altLang="en-US" sz="1100" b="0" i="0" u="none" strike="noStrike" baseline="0">
              <a:solidFill>
                <a:srgbClr val="000000"/>
              </a:solidFill>
              <a:latin typeface="宋体"/>
              <a:ea typeface="宋体"/>
            </a:rPr>
            <a:t>开始的单元内。</a:t>
          </a:r>
        </a:p>
      </xdr:txBody>
    </xdr:sp>
    <xdr:clientData/>
  </xdr:twoCellAnchor>
  <xdr:twoCellAnchor editAs="oneCell">
    <xdr:from>
      <xdr:col>8</xdr:col>
      <xdr:colOff>161925</xdr:colOff>
      <xdr:row>6</xdr:row>
      <xdr:rowOff>152400</xdr:rowOff>
    </xdr:from>
    <xdr:to>
      <xdr:col>11</xdr:col>
      <xdr:colOff>304800</xdr:colOff>
      <xdr:row>11</xdr:row>
      <xdr:rowOff>9525</xdr:rowOff>
    </xdr:to>
    <xdr:pic>
      <xdr:nvPicPr>
        <xdr:cNvPr id="3"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7029450" y="1181100"/>
          <a:ext cx="3171825" cy="714375"/>
        </a:xfrm>
        <a:prstGeom prst="rect">
          <a:avLst/>
        </a:prstGeom>
        <a:noFill/>
      </xdr:spPr>
    </xdr:pic>
    <xdr:clientData/>
  </xdr:twoCellAnchor>
  <xdr:twoCellAnchor>
    <xdr:from>
      <xdr:col>2</xdr:col>
      <xdr:colOff>285750</xdr:colOff>
      <xdr:row>16</xdr:row>
      <xdr:rowOff>66675</xdr:rowOff>
    </xdr:from>
    <xdr:to>
      <xdr:col>6</xdr:col>
      <xdr:colOff>457200</xdr:colOff>
      <xdr:row>21</xdr:row>
      <xdr:rowOff>142875</xdr:rowOff>
    </xdr:to>
    <xdr:sp macro="" textlink="">
      <xdr:nvSpPr>
        <xdr:cNvPr id="4" name="TextBox 3"/>
        <xdr:cNvSpPr txBox="1"/>
      </xdr:nvSpPr>
      <xdr:spPr>
        <a:xfrm>
          <a:off x="1838325" y="2809875"/>
          <a:ext cx="3467100" cy="933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zh-CN" altLang="en-US" sz="1100"/>
            <a:t>认为单店单一品种达</a:t>
          </a:r>
          <a:r>
            <a:rPr lang="en-US" altLang="zh-CN" sz="1100"/>
            <a:t>50</a:t>
          </a:r>
          <a:endParaRPr lang="zh-CN"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425384</xdr:colOff>
      <xdr:row>29</xdr:row>
      <xdr:rowOff>28575</xdr:rowOff>
    </xdr:from>
    <xdr:to>
      <xdr:col>6</xdr:col>
      <xdr:colOff>823603</xdr:colOff>
      <xdr:row>35</xdr:row>
      <xdr:rowOff>133350</xdr:rowOff>
    </xdr:to>
    <xdr:grpSp>
      <xdr:nvGrpSpPr>
        <xdr:cNvPr id="2" name="组合 1"/>
        <xdr:cNvGrpSpPr/>
      </xdr:nvGrpSpPr>
      <xdr:grpSpPr>
        <a:xfrm>
          <a:off x="2492309" y="5000625"/>
          <a:ext cx="4617794" cy="1133475"/>
          <a:chOff x="2225609" y="4162425"/>
          <a:chExt cx="4617794" cy="1133475"/>
        </a:xfrm>
      </xdr:grpSpPr>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25609" y="4772025"/>
            <a:ext cx="4617794" cy="5238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图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7100" y="4162425"/>
            <a:ext cx="2209800" cy="35242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0</xdr:colOff>
      <xdr:row>15</xdr:row>
      <xdr:rowOff>0</xdr:rowOff>
    </xdr:from>
    <xdr:to>
      <xdr:col>7</xdr:col>
      <xdr:colOff>714375</xdr:colOff>
      <xdr:row>37</xdr:row>
      <xdr:rowOff>38100</xdr:rowOff>
    </xdr:to>
    <xdr:sp macro="" textlink="">
      <xdr:nvSpPr>
        <xdr:cNvPr id="6" name="TextBox 5"/>
        <xdr:cNvSpPr txBox="1"/>
      </xdr:nvSpPr>
      <xdr:spPr>
        <a:xfrm>
          <a:off x="0" y="2571750"/>
          <a:ext cx="7972425" cy="3810000"/>
        </a:xfrm>
        <a:prstGeom prst="rect">
          <a:avLst/>
        </a:prstGeom>
        <a:solidFill>
          <a:srgbClr val="CC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200" b="1"/>
            <a:t>第</a:t>
          </a:r>
          <a:r>
            <a:rPr lang="en-US" altLang="zh-CN" sz="1200" b="1"/>
            <a:t>7</a:t>
          </a:r>
          <a:r>
            <a:rPr lang="zh-CN" altLang="en-US" sz="1200" b="1"/>
            <a:t>题（</a:t>
          </a:r>
          <a:r>
            <a:rPr lang="en-US" altLang="zh-CN" sz="1200" b="1"/>
            <a:t>15</a:t>
          </a:r>
          <a:r>
            <a:rPr lang="zh-CN" altLang="en-US" sz="1200" b="1"/>
            <a:t>分）</a:t>
          </a:r>
          <a:r>
            <a:rPr lang="zh-CN" altLang="en-US" sz="1200"/>
            <a:t>在</a:t>
          </a:r>
          <a:r>
            <a:rPr lang="en-US" altLang="zh-CN" sz="1200"/>
            <a:t>2008</a:t>
          </a:r>
          <a:r>
            <a:rPr lang="zh-CN" altLang="en-US" sz="1200"/>
            <a:t>年年初某人有本金</a:t>
          </a:r>
          <a:r>
            <a:rPr lang="en-US" altLang="zh-CN" sz="1200"/>
            <a:t>100000</a:t>
          </a:r>
          <a:r>
            <a:rPr lang="zh-CN" altLang="en-US" sz="1200"/>
            <a:t>元准备进行资金运作，银行有</a:t>
          </a:r>
          <a:r>
            <a:rPr lang="en-US" altLang="zh-CN" sz="1200"/>
            <a:t>1</a:t>
          </a:r>
          <a:r>
            <a:rPr lang="zh-CN" altLang="en-US" sz="1200"/>
            <a:t>年期和</a:t>
          </a:r>
          <a:r>
            <a:rPr lang="en-US" altLang="zh-CN" sz="1200"/>
            <a:t>3</a:t>
          </a:r>
          <a:r>
            <a:rPr lang="zh-CN" altLang="en-US" sz="1200"/>
            <a:t>年期的定存可供选择，根据合约规定合约不到期不能提前支取，合约到期时按单利计算利息，计算公式：利息</a:t>
          </a:r>
          <a:r>
            <a:rPr lang="en-US" altLang="zh-CN" sz="1200"/>
            <a:t>=</a:t>
          </a:r>
          <a:r>
            <a:rPr lang="zh-CN" altLang="en-US" sz="1200"/>
            <a:t>本金</a:t>
          </a:r>
          <a:r>
            <a:rPr lang="en-US" altLang="zh-CN" sz="1200"/>
            <a:t>*</a:t>
          </a:r>
          <a:r>
            <a:rPr lang="zh-CN" altLang="en-US" sz="1200"/>
            <a:t>年利率</a:t>
          </a:r>
          <a:r>
            <a:rPr lang="en-US" altLang="zh-CN" sz="1200"/>
            <a:t>*</a:t>
          </a:r>
          <a:r>
            <a:rPr lang="zh-CN" altLang="en-US" sz="1200"/>
            <a:t>存款年数。四年间每年的其他收入与支出如下表所示。到</a:t>
          </a:r>
          <a:r>
            <a:rPr lang="en-US" altLang="zh-CN" sz="1200"/>
            <a:t>2012</a:t>
          </a:r>
          <a:r>
            <a:rPr lang="zh-CN" altLang="en-US" sz="1200"/>
            <a:t>年年初必须全部兑成现金。</a:t>
          </a:r>
          <a:endParaRPr lang="en-US" altLang="zh-CN" sz="1200"/>
        </a:p>
        <a:p>
          <a:r>
            <a:rPr lang="zh-CN" altLang="en-US" sz="1200"/>
            <a:t>问：</a:t>
          </a:r>
          <a:r>
            <a:rPr lang="en-US" altLang="zh-CN" sz="1200"/>
            <a:t>2008</a:t>
          </a:r>
          <a:r>
            <a:rPr lang="zh-CN" altLang="en-US" sz="1200"/>
            <a:t>年、</a:t>
          </a:r>
          <a:r>
            <a:rPr lang="en-US" altLang="zh-CN" sz="1200"/>
            <a:t>2009</a:t>
          </a:r>
          <a:r>
            <a:rPr lang="zh-CN" altLang="en-US" sz="1200"/>
            <a:t>年、</a:t>
          </a:r>
          <a:r>
            <a:rPr lang="en-US" altLang="zh-CN" sz="1200"/>
            <a:t>2010</a:t>
          </a:r>
          <a:r>
            <a:rPr lang="zh-CN" altLang="en-US" sz="1200"/>
            <a:t>年、</a:t>
          </a:r>
          <a:r>
            <a:rPr lang="en-US" altLang="zh-CN" sz="1200"/>
            <a:t>2011</a:t>
          </a:r>
          <a:r>
            <a:rPr lang="zh-CN" altLang="en-US" sz="1200"/>
            <a:t>年四年中各年的</a:t>
          </a:r>
          <a:r>
            <a:rPr lang="en-US" altLang="zh-CN" sz="1200"/>
            <a:t>1</a:t>
          </a:r>
          <a:r>
            <a:rPr lang="zh-CN" altLang="en-US" sz="1200"/>
            <a:t>年期存款和</a:t>
          </a:r>
          <a:r>
            <a:rPr lang="en-US" altLang="zh-CN" sz="1200"/>
            <a:t>3</a:t>
          </a:r>
          <a:r>
            <a:rPr lang="zh-CN" altLang="en-US" sz="1200"/>
            <a:t>年期存款如何安排使得</a:t>
          </a:r>
          <a:r>
            <a:rPr lang="en-US" altLang="zh-CN" sz="1200"/>
            <a:t>2012</a:t>
          </a:r>
          <a:r>
            <a:rPr lang="zh-CN" altLang="en-US" sz="1200"/>
            <a:t>年年初的</a:t>
          </a:r>
          <a:r>
            <a:rPr lang="zh-CN" altLang="zh-CN" sz="1200">
              <a:solidFill>
                <a:schemeClr val="dk1"/>
              </a:solidFill>
              <a:effectLst/>
              <a:latin typeface="+mn-lt"/>
              <a:ea typeface="+mn-ea"/>
              <a:cs typeface="+mn-cs"/>
            </a:rPr>
            <a:t>兑成现金</a:t>
          </a:r>
          <a:r>
            <a:rPr lang="zh-CN" altLang="en-US" sz="1200">
              <a:solidFill>
                <a:schemeClr val="dk1"/>
              </a:solidFill>
              <a:effectLst/>
              <a:latin typeface="+mn-lt"/>
              <a:ea typeface="+mn-ea"/>
              <a:cs typeface="+mn-cs"/>
            </a:rPr>
            <a:t>的</a:t>
          </a:r>
          <a:r>
            <a:rPr lang="zh-CN" altLang="en-US" sz="1200"/>
            <a:t>金额最大。</a:t>
          </a:r>
          <a:endParaRPr lang="en-US" altLang="zh-CN" sz="1200"/>
        </a:p>
        <a:p>
          <a:r>
            <a:rPr lang="en-US" altLang="zh-CN" sz="1200"/>
            <a:t>1</a:t>
          </a:r>
          <a:r>
            <a:rPr lang="zh-CN" altLang="en-US" sz="1200"/>
            <a:t>、在本工作表中设计决策变量和计算公式，建立</a:t>
          </a:r>
          <a:r>
            <a:rPr lang="en-US" altLang="zh-CN" sz="1200">
              <a:solidFill>
                <a:schemeClr val="dk1"/>
              </a:solidFill>
              <a:effectLst/>
              <a:latin typeface="+mn-lt"/>
              <a:ea typeface="+mn-ea"/>
              <a:cs typeface="+mn-cs"/>
            </a:rPr>
            <a:t>2008</a:t>
          </a:r>
          <a:r>
            <a:rPr lang="zh-CN" altLang="zh-CN" sz="1200">
              <a:solidFill>
                <a:schemeClr val="dk1"/>
              </a:solidFill>
              <a:effectLst/>
              <a:latin typeface="+mn-lt"/>
              <a:ea typeface="+mn-ea"/>
              <a:cs typeface="+mn-cs"/>
            </a:rPr>
            <a:t>年、</a:t>
          </a:r>
          <a:r>
            <a:rPr lang="en-US" altLang="zh-CN" sz="1200">
              <a:solidFill>
                <a:schemeClr val="dk1"/>
              </a:solidFill>
              <a:effectLst/>
              <a:latin typeface="+mn-lt"/>
              <a:ea typeface="+mn-ea"/>
              <a:cs typeface="+mn-cs"/>
            </a:rPr>
            <a:t>2009</a:t>
          </a:r>
          <a:r>
            <a:rPr lang="zh-CN" altLang="zh-CN" sz="1200">
              <a:solidFill>
                <a:schemeClr val="dk1"/>
              </a:solidFill>
              <a:effectLst/>
              <a:latin typeface="+mn-lt"/>
              <a:ea typeface="+mn-ea"/>
              <a:cs typeface="+mn-cs"/>
            </a:rPr>
            <a:t>年、</a:t>
          </a:r>
          <a:r>
            <a:rPr lang="en-US" altLang="zh-CN" sz="1200">
              <a:solidFill>
                <a:schemeClr val="dk1"/>
              </a:solidFill>
              <a:effectLst/>
              <a:latin typeface="+mn-lt"/>
              <a:ea typeface="+mn-ea"/>
              <a:cs typeface="+mn-cs"/>
            </a:rPr>
            <a:t>2010</a:t>
          </a:r>
          <a:r>
            <a:rPr lang="zh-CN" altLang="zh-CN" sz="1200">
              <a:solidFill>
                <a:schemeClr val="dk1"/>
              </a:solidFill>
              <a:effectLst/>
              <a:latin typeface="+mn-lt"/>
              <a:ea typeface="+mn-ea"/>
              <a:cs typeface="+mn-cs"/>
            </a:rPr>
            <a:t>年、</a:t>
          </a:r>
          <a:r>
            <a:rPr lang="en-US" altLang="zh-CN" sz="1200">
              <a:solidFill>
                <a:schemeClr val="dk1"/>
              </a:solidFill>
              <a:effectLst/>
              <a:latin typeface="+mn-lt"/>
              <a:ea typeface="+mn-ea"/>
              <a:cs typeface="+mn-cs"/>
            </a:rPr>
            <a:t>2011</a:t>
          </a:r>
          <a:r>
            <a:rPr lang="zh-CN" altLang="zh-CN" sz="1200">
              <a:solidFill>
                <a:schemeClr val="dk1"/>
              </a:solidFill>
              <a:effectLst/>
              <a:latin typeface="+mn-lt"/>
              <a:ea typeface="+mn-ea"/>
              <a:cs typeface="+mn-cs"/>
            </a:rPr>
            <a:t>年四年中各年的</a:t>
          </a:r>
          <a:r>
            <a:rPr lang="en-US" altLang="zh-CN" sz="1200">
              <a:solidFill>
                <a:schemeClr val="dk1"/>
              </a:solidFill>
              <a:effectLst/>
              <a:latin typeface="+mn-lt"/>
              <a:ea typeface="+mn-ea"/>
              <a:cs typeface="+mn-cs"/>
            </a:rPr>
            <a:t>1</a:t>
          </a:r>
          <a:r>
            <a:rPr lang="zh-CN" altLang="zh-CN" sz="1200">
              <a:solidFill>
                <a:schemeClr val="dk1"/>
              </a:solidFill>
              <a:effectLst/>
              <a:latin typeface="+mn-lt"/>
              <a:ea typeface="+mn-ea"/>
              <a:cs typeface="+mn-cs"/>
            </a:rPr>
            <a:t>年期存款和</a:t>
          </a:r>
          <a:r>
            <a:rPr lang="en-US" altLang="zh-CN" sz="1200">
              <a:solidFill>
                <a:schemeClr val="dk1"/>
              </a:solidFill>
              <a:effectLst/>
              <a:latin typeface="+mn-lt"/>
              <a:ea typeface="+mn-ea"/>
              <a:cs typeface="+mn-cs"/>
            </a:rPr>
            <a:t>3</a:t>
          </a:r>
          <a:r>
            <a:rPr lang="zh-CN" altLang="zh-CN" sz="1200">
              <a:solidFill>
                <a:schemeClr val="dk1"/>
              </a:solidFill>
              <a:effectLst/>
              <a:latin typeface="+mn-lt"/>
              <a:ea typeface="+mn-ea"/>
              <a:cs typeface="+mn-cs"/>
            </a:rPr>
            <a:t>年期存款如何安排使得</a:t>
          </a:r>
          <a:r>
            <a:rPr lang="en-US" altLang="zh-CN" sz="1200">
              <a:solidFill>
                <a:schemeClr val="dk1"/>
              </a:solidFill>
              <a:effectLst/>
              <a:latin typeface="+mn-lt"/>
              <a:ea typeface="+mn-ea"/>
              <a:cs typeface="+mn-cs"/>
            </a:rPr>
            <a:t>2012</a:t>
          </a:r>
          <a:r>
            <a:rPr lang="zh-CN" altLang="zh-CN" sz="1200">
              <a:solidFill>
                <a:schemeClr val="dk1"/>
              </a:solidFill>
              <a:effectLst/>
              <a:latin typeface="+mn-lt"/>
              <a:ea typeface="+mn-ea"/>
              <a:cs typeface="+mn-cs"/>
            </a:rPr>
            <a:t>年年初的兑成现金金额最大</a:t>
          </a:r>
          <a:r>
            <a:rPr lang="zh-CN" altLang="en-US" sz="1200"/>
            <a:t>的规划求解模型；</a:t>
          </a:r>
          <a:endParaRPr lang="en-US" altLang="zh-CN" sz="1200"/>
        </a:p>
        <a:p>
          <a:r>
            <a:rPr lang="en-US" altLang="zh-CN" sz="1200"/>
            <a:t>2</a:t>
          </a:r>
          <a:r>
            <a:rPr lang="zh-CN" altLang="en-US" sz="1200"/>
            <a:t>、若存款额可以不是整数时，将求解模型保存到</a:t>
          </a:r>
          <a:r>
            <a:rPr lang="en-US" altLang="zh-CN" sz="1200"/>
            <a:t>A2</a:t>
          </a:r>
          <a:r>
            <a:rPr lang="zh-CN" altLang="en-US" sz="1200"/>
            <a:t>单元格开始的区域；</a:t>
          </a:r>
          <a:endParaRPr lang="en-US" altLang="zh-CN" sz="1200"/>
        </a:p>
        <a:p>
          <a:pPr marL="0" marR="0" indent="0" defTabSz="914400" eaLnBrk="1" fontAlgn="auto" latinLnBrk="0" hangingPunct="1">
            <a:lnSpc>
              <a:spcPct val="100000"/>
            </a:lnSpc>
            <a:spcBef>
              <a:spcPts val="0"/>
            </a:spcBef>
            <a:spcAft>
              <a:spcPts val="0"/>
            </a:spcAft>
            <a:buClrTx/>
            <a:buSzTx/>
            <a:buFontTx/>
            <a:buNone/>
            <a:tabLst/>
            <a:defRPr/>
          </a:pPr>
          <a:r>
            <a:rPr lang="en-US" altLang="zh-CN" sz="1200">
              <a:solidFill>
                <a:schemeClr val="dk1"/>
              </a:solidFill>
              <a:effectLst/>
              <a:latin typeface="+mn-lt"/>
              <a:ea typeface="+mn-ea"/>
              <a:cs typeface="+mn-cs"/>
            </a:rPr>
            <a:t>3</a:t>
          </a:r>
          <a:r>
            <a:rPr lang="zh-CN" altLang="zh-CN" sz="1200">
              <a:solidFill>
                <a:schemeClr val="dk1"/>
              </a:solidFill>
              <a:effectLst/>
              <a:latin typeface="+mn-lt"/>
              <a:ea typeface="+mn-ea"/>
              <a:cs typeface="+mn-cs"/>
            </a:rPr>
            <a:t>、若存款额是整数时，</a:t>
          </a:r>
          <a:r>
            <a:rPr lang="zh-CN" altLang="en-US" sz="1200">
              <a:solidFill>
                <a:schemeClr val="dk1"/>
              </a:solidFill>
              <a:effectLst/>
              <a:latin typeface="+mn-lt"/>
              <a:ea typeface="+mn-ea"/>
              <a:cs typeface="+mn-cs"/>
            </a:rPr>
            <a:t>无论是否有解，</a:t>
          </a:r>
          <a:r>
            <a:rPr lang="zh-CN" altLang="zh-CN" sz="1200">
              <a:solidFill>
                <a:schemeClr val="dk1"/>
              </a:solidFill>
              <a:effectLst/>
              <a:latin typeface="+mn-lt"/>
              <a:ea typeface="+mn-ea"/>
              <a:cs typeface="+mn-cs"/>
            </a:rPr>
            <a:t>将求解模型保存到</a:t>
          </a:r>
          <a:r>
            <a:rPr lang="en-US" altLang="zh-CN" sz="1200">
              <a:solidFill>
                <a:schemeClr val="dk1"/>
              </a:solidFill>
              <a:effectLst/>
              <a:latin typeface="+mn-lt"/>
              <a:ea typeface="+mn-ea"/>
              <a:cs typeface="+mn-cs"/>
            </a:rPr>
            <a:t>B2</a:t>
          </a:r>
          <a:r>
            <a:rPr lang="zh-CN" altLang="zh-CN" sz="1200">
              <a:solidFill>
                <a:schemeClr val="dk1"/>
              </a:solidFill>
              <a:effectLst/>
              <a:latin typeface="+mn-lt"/>
              <a:ea typeface="+mn-ea"/>
              <a:cs typeface="+mn-cs"/>
            </a:rPr>
            <a:t>单元格开始的区域</a:t>
          </a:r>
          <a:r>
            <a:rPr lang="zh-CN" altLang="en-US" sz="1200">
              <a:solidFill>
                <a:schemeClr val="dk1"/>
              </a:solidFill>
              <a:effectLst/>
              <a:latin typeface="+mn-lt"/>
              <a:ea typeface="+mn-ea"/>
              <a:cs typeface="+mn-cs"/>
            </a:rPr>
            <a:t>。</a:t>
          </a:r>
          <a:endParaRPr lang="zh-CN" altLang="zh-CN" sz="1200">
            <a:effectLst/>
          </a:endParaRPr>
        </a:p>
        <a:p>
          <a:endParaRPr lang="zh-CN" altLang="en-US" sz="1200"/>
        </a:p>
      </xdr:txBody>
    </xdr:sp>
    <xdr:clientData/>
  </xdr:twoCellAnchor>
  <xdr:twoCellAnchor>
    <xdr:from>
      <xdr:col>1</xdr:col>
      <xdr:colOff>282509</xdr:colOff>
      <xdr:row>30</xdr:row>
      <xdr:rowOff>123825</xdr:rowOff>
    </xdr:from>
    <xdr:to>
      <xdr:col>5</xdr:col>
      <xdr:colOff>690253</xdr:colOff>
      <xdr:row>33</xdr:row>
      <xdr:rowOff>133350</xdr:rowOff>
    </xdr:to>
    <xdr:pic>
      <xdr:nvPicPr>
        <xdr:cNvPr id="7" name="图片 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7409" y="5267325"/>
          <a:ext cx="4617794"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561975</xdr:colOff>
      <xdr:row>27</xdr:row>
      <xdr:rowOff>28575</xdr:rowOff>
    </xdr:from>
    <xdr:to>
      <xdr:col>4</xdr:col>
      <xdr:colOff>495300</xdr:colOff>
      <xdr:row>29</xdr:row>
      <xdr:rowOff>38100</xdr:rowOff>
    </xdr:to>
    <xdr:pic>
      <xdr:nvPicPr>
        <xdr:cNvPr id="8" name="图片 7"/>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28900" y="4657725"/>
          <a:ext cx="22098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17</xdr:row>
      <xdr:rowOff>0</xdr:rowOff>
    </xdr:from>
    <xdr:to>
      <xdr:col>5</xdr:col>
      <xdr:colOff>638175</xdr:colOff>
      <xdr:row>30</xdr:row>
      <xdr:rowOff>57150</xdr:rowOff>
    </xdr:to>
    <xdr:sp macro="" textlink="">
      <xdr:nvSpPr>
        <xdr:cNvPr id="4" name="Text Box 2"/>
        <xdr:cNvSpPr txBox="1">
          <a:spLocks noChangeArrowheads="1"/>
        </xdr:cNvSpPr>
      </xdr:nvSpPr>
      <xdr:spPr bwMode="auto">
        <a:xfrm>
          <a:off x="0" y="2590800"/>
          <a:ext cx="4933950" cy="2038350"/>
        </a:xfrm>
        <a:prstGeom prst="rect">
          <a:avLst/>
        </a:prstGeom>
        <a:solidFill>
          <a:srgbClr val="CCFFFF"/>
        </a:solidFill>
        <a:ln w="9525">
          <a:solidFill>
            <a:srgbClr val="000000"/>
          </a:solidFill>
          <a:miter lim="800000"/>
          <a:headEnd/>
          <a:tailEnd/>
        </a:ln>
      </xdr:spPr>
      <xdr:txBody>
        <a:bodyPr vertOverflow="clip" wrap="square" lIns="36576" tIns="18288" rIns="0" bIns="0" anchor="t" upright="1"/>
        <a:lstStyle/>
        <a:p>
          <a:pPr algn="l" rtl="0">
            <a:defRPr sz="1000"/>
          </a:pPr>
          <a:r>
            <a:rPr lang="zh-CN" altLang="en-US" sz="1100" b="1" i="0" strike="noStrike">
              <a:solidFill>
                <a:srgbClr val="000000"/>
              </a:solidFill>
              <a:latin typeface="宋体"/>
              <a:ea typeface="宋体"/>
            </a:rPr>
            <a:t>第</a:t>
          </a:r>
          <a:r>
            <a:rPr lang="en-US" altLang="zh-CN" sz="1100" b="1" i="0" strike="noStrike">
              <a:solidFill>
                <a:srgbClr val="000000"/>
              </a:solidFill>
              <a:latin typeface="Arial"/>
              <a:cs typeface="Arial"/>
            </a:rPr>
            <a:t>8</a:t>
          </a:r>
          <a:r>
            <a:rPr lang="zh-CN" altLang="en-US" sz="1100" b="1" i="0" strike="noStrike">
              <a:solidFill>
                <a:srgbClr val="000000"/>
              </a:solidFill>
              <a:latin typeface="宋体"/>
              <a:ea typeface="宋体"/>
            </a:rPr>
            <a:t>题</a:t>
          </a:r>
          <a:r>
            <a:rPr lang="en-US" altLang="zh-CN" sz="1100" b="1" i="0" strike="noStrike">
              <a:solidFill>
                <a:srgbClr val="000000"/>
              </a:solidFill>
              <a:latin typeface="Arial"/>
              <a:cs typeface="Arial"/>
            </a:rPr>
            <a:t>(15</a:t>
          </a:r>
          <a:r>
            <a:rPr lang="zh-CN" altLang="en-US" sz="1100" b="1" i="0" strike="noStrike">
              <a:solidFill>
                <a:srgbClr val="000000"/>
              </a:solidFill>
              <a:latin typeface="宋体"/>
              <a:ea typeface="宋体"/>
            </a:rPr>
            <a:t>分）</a:t>
          </a:r>
          <a:r>
            <a:rPr lang="zh-CN" altLang="en-US" sz="1100" b="0" i="0" strike="noStrike">
              <a:solidFill>
                <a:srgbClr val="000000"/>
              </a:solidFill>
              <a:latin typeface="Arial"/>
              <a:cs typeface="Arial"/>
            </a:rPr>
            <a:t>  </a:t>
          </a:r>
          <a:r>
            <a:rPr lang="zh-CN" altLang="en-US" sz="1100" b="0" i="0" strike="noStrike">
              <a:solidFill>
                <a:srgbClr val="000000"/>
              </a:solidFill>
              <a:latin typeface="宋体"/>
              <a:ea typeface="宋体"/>
            </a:rPr>
            <a:t>某冷饮生产企业每年有</a:t>
          </a:r>
          <a:r>
            <a:rPr lang="en-US" altLang="zh-CN" sz="1100" b="0" i="0" strike="noStrike">
              <a:solidFill>
                <a:srgbClr val="000000"/>
              </a:solidFill>
              <a:latin typeface="Arial"/>
              <a:cs typeface="Arial"/>
            </a:rPr>
            <a:t>20</a:t>
          </a:r>
          <a:r>
            <a:rPr lang="zh-CN" altLang="en-US" sz="1100" b="0" i="0" strike="noStrike">
              <a:solidFill>
                <a:srgbClr val="000000"/>
              </a:solidFill>
              <a:latin typeface="宋体"/>
              <a:ea typeface="宋体"/>
              <a:cs typeface="Arial"/>
            </a:rPr>
            <a:t>周</a:t>
          </a:r>
          <a:r>
            <a:rPr lang="zh-CN" altLang="en-US" sz="1100" b="0" i="0" strike="noStrike">
              <a:solidFill>
                <a:srgbClr val="000000"/>
              </a:solidFill>
              <a:latin typeface="宋体"/>
              <a:ea typeface="宋体"/>
            </a:rPr>
            <a:t>的生产高峰期，为应对高峰，前期企业已预生产了</a:t>
          </a:r>
          <a:r>
            <a:rPr lang="en-US" altLang="zh-CN" sz="1100" b="0" i="0" strike="noStrike">
              <a:solidFill>
                <a:srgbClr val="000000"/>
              </a:solidFill>
              <a:latin typeface="Arial"/>
              <a:cs typeface="Arial"/>
            </a:rPr>
            <a:t>1500</a:t>
          </a:r>
          <a:r>
            <a:rPr lang="zh-CN" altLang="en-US" sz="1100" b="0" i="0" strike="noStrike">
              <a:solidFill>
                <a:srgbClr val="000000"/>
              </a:solidFill>
              <a:latin typeface="宋体"/>
              <a:ea typeface="宋体"/>
            </a:rPr>
            <a:t>箱冷饮作为初始库存。</a:t>
          </a:r>
          <a:r>
            <a:rPr lang="en-US" altLang="zh-CN" sz="1100" b="0" i="0" strike="noStrike">
              <a:solidFill>
                <a:srgbClr val="000000"/>
              </a:solidFill>
              <a:latin typeface="Arial"/>
              <a:cs typeface="Arial"/>
            </a:rPr>
            <a:t>20</a:t>
          </a:r>
          <a:r>
            <a:rPr lang="zh-CN" altLang="en-US" sz="1100" b="0" i="0" strike="noStrike">
              <a:solidFill>
                <a:srgbClr val="000000"/>
              </a:solidFill>
              <a:latin typeface="Arial"/>
              <a:cs typeface="Arial"/>
            </a:rPr>
            <a:t>周</a:t>
          </a:r>
          <a:r>
            <a:rPr lang="zh-CN" altLang="en-US" sz="1100" b="0" i="0" strike="noStrike">
              <a:solidFill>
                <a:srgbClr val="000000"/>
              </a:solidFill>
              <a:latin typeface="宋体"/>
              <a:ea typeface="宋体"/>
            </a:rPr>
            <a:t>的高峰期内，每周的正常产量是</a:t>
          </a:r>
          <a:r>
            <a:rPr lang="en-US" altLang="zh-CN" sz="1100" b="0" i="0" strike="noStrike">
              <a:solidFill>
                <a:srgbClr val="000000"/>
              </a:solidFill>
              <a:latin typeface="Arial"/>
              <a:cs typeface="Arial"/>
            </a:rPr>
            <a:t>800</a:t>
          </a:r>
          <a:r>
            <a:rPr lang="zh-CN" altLang="en-US" sz="1100" b="0" i="0" strike="noStrike">
              <a:solidFill>
                <a:srgbClr val="000000"/>
              </a:solidFill>
              <a:latin typeface="宋体"/>
              <a:ea typeface="宋体"/>
            </a:rPr>
            <a:t>箱，每周的需求是均值</a:t>
          </a:r>
          <a:r>
            <a:rPr lang="en-US" altLang="zh-CN" sz="1100" b="0" i="0" strike="noStrike">
              <a:solidFill>
                <a:srgbClr val="000000"/>
              </a:solidFill>
              <a:latin typeface="宋体"/>
              <a:ea typeface="宋体"/>
            </a:rPr>
            <a:t>900</a:t>
          </a:r>
          <a:r>
            <a:rPr lang="zh-CN" altLang="en-US" sz="1100" b="0" i="0" strike="noStrike">
              <a:solidFill>
                <a:srgbClr val="000000"/>
              </a:solidFill>
              <a:latin typeface="宋体"/>
              <a:ea typeface="宋体"/>
            </a:rPr>
            <a:t>标准差</a:t>
          </a:r>
          <a:r>
            <a:rPr lang="en-US" altLang="zh-CN" sz="1100" b="0" i="0" strike="noStrike">
              <a:solidFill>
                <a:srgbClr val="000000"/>
              </a:solidFill>
              <a:latin typeface="宋体"/>
              <a:ea typeface="宋体"/>
            </a:rPr>
            <a:t>300</a:t>
          </a:r>
          <a:r>
            <a:rPr lang="zh-CN" altLang="en-US" sz="1100" b="0" i="0" strike="noStrike">
              <a:solidFill>
                <a:srgbClr val="000000"/>
              </a:solidFill>
              <a:latin typeface="宋体"/>
              <a:ea typeface="宋体"/>
            </a:rPr>
            <a:t>的正态分布。根据周末库存情况，若低于加班库存标准</a:t>
          </a:r>
          <a:r>
            <a:rPr lang="en-US" altLang="zh-CN" sz="1100" b="0" i="0" strike="noStrike">
              <a:solidFill>
                <a:srgbClr val="000000"/>
              </a:solidFill>
              <a:latin typeface="宋体"/>
              <a:ea typeface="宋体"/>
            </a:rPr>
            <a:t>600</a:t>
          </a:r>
          <a:r>
            <a:rPr lang="zh-CN" altLang="en-US" sz="1100" b="0" i="0" strike="noStrike">
              <a:solidFill>
                <a:srgbClr val="000000"/>
              </a:solidFill>
              <a:latin typeface="宋体"/>
              <a:ea typeface="宋体"/>
            </a:rPr>
            <a:t>，企业要决定下一周加班，加班产量是</a:t>
          </a:r>
          <a:r>
            <a:rPr lang="en-US" altLang="zh-CN" sz="1100" b="0" i="0" strike="noStrike">
              <a:solidFill>
                <a:srgbClr val="000000"/>
              </a:solidFill>
              <a:latin typeface="Arial"/>
              <a:cs typeface="Arial"/>
            </a:rPr>
            <a:t>300</a:t>
          </a:r>
          <a:r>
            <a:rPr lang="zh-CN" altLang="en-US" sz="1100" b="0" i="0" strike="noStrike">
              <a:solidFill>
                <a:srgbClr val="000000"/>
              </a:solidFill>
              <a:latin typeface="宋体"/>
              <a:ea typeface="宋体"/>
            </a:rPr>
            <a:t>箱。要求：</a:t>
          </a:r>
          <a:endParaRPr lang="zh-CN" altLang="en-US" sz="1100" b="0" i="0" strike="noStrike">
            <a:solidFill>
              <a:srgbClr val="000000"/>
            </a:solidFill>
            <a:latin typeface="Arial"/>
            <a:cs typeface="Arial"/>
          </a:endParaRPr>
        </a:p>
        <a:p>
          <a:pPr algn="l" rtl="0">
            <a:defRPr sz="1000"/>
          </a:pPr>
          <a:r>
            <a:rPr lang="en-US" altLang="zh-CN" sz="1100" b="0" i="0" strike="noStrike">
              <a:solidFill>
                <a:srgbClr val="000000"/>
              </a:solidFill>
              <a:latin typeface="Arial"/>
              <a:cs typeface="Arial"/>
            </a:rPr>
            <a:t>1</a:t>
          </a:r>
          <a:r>
            <a:rPr lang="zh-CN" altLang="en-US" sz="1100" b="0" i="0" strike="noStrike">
              <a:solidFill>
                <a:srgbClr val="000000"/>
              </a:solidFill>
              <a:latin typeface="宋体"/>
              <a:ea typeface="宋体"/>
            </a:rPr>
            <a:t>、建立模型，模拟这</a:t>
          </a:r>
          <a:r>
            <a:rPr lang="en-US" altLang="zh-CN" sz="1100" b="0" i="0" strike="noStrike">
              <a:solidFill>
                <a:srgbClr val="000000"/>
              </a:solidFill>
              <a:latin typeface="Arial"/>
              <a:cs typeface="Arial"/>
            </a:rPr>
            <a:t>20</a:t>
          </a:r>
          <a:r>
            <a:rPr lang="zh-CN" altLang="en-US" sz="1100" b="0" i="0" strike="noStrike">
              <a:solidFill>
                <a:srgbClr val="000000"/>
              </a:solidFill>
              <a:latin typeface="宋体"/>
              <a:ea typeface="宋体"/>
              <a:cs typeface="Arial"/>
            </a:rPr>
            <a:t>周</a:t>
          </a:r>
          <a:r>
            <a:rPr lang="zh-CN" altLang="en-US" sz="1100" b="0" i="0" strike="noStrike">
              <a:solidFill>
                <a:srgbClr val="000000"/>
              </a:solidFill>
              <a:latin typeface="宋体"/>
              <a:ea typeface="宋体"/>
            </a:rPr>
            <a:t>企业生产、需求和库存、及加班的情况。</a:t>
          </a:r>
        </a:p>
        <a:p>
          <a:pPr algn="l" rtl="0">
            <a:defRPr sz="1000"/>
          </a:pPr>
          <a:r>
            <a:rPr lang="en-US" altLang="zh-CN" sz="1100" b="0" i="0" strike="noStrike">
              <a:solidFill>
                <a:srgbClr val="000000"/>
              </a:solidFill>
              <a:latin typeface="Arial"/>
              <a:cs typeface="Arial"/>
            </a:rPr>
            <a:t>2</a:t>
          </a:r>
          <a:r>
            <a:rPr lang="zh-CN" altLang="en-US" sz="1100" b="0" i="0" strike="noStrike">
              <a:solidFill>
                <a:srgbClr val="000000"/>
              </a:solidFill>
              <a:latin typeface="宋体"/>
              <a:ea typeface="宋体"/>
            </a:rPr>
            <a:t>、计算这</a:t>
          </a:r>
          <a:r>
            <a:rPr lang="en-US" altLang="zh-CN" sz="1100" b="0" i="0" strike="noStrike">
              <a:solidFill>
                <a:srgbClr val="000000"/>
              </a:solidFill>
              <a:latin typeface="Arial"/>
              <a:cs typeface="Arial"/>
            </a:rPr>
            <a:t>20</a:t>
          </a:r>
          <a:r>
            <a:rPr lang="zh-CN" altLang="en-US" sz="1100" b="0" i="0" strike="noStrike">
              <a:solidFill>
                <a:srgbClr val="000000"/>
              </a:solidFill>
              <a:latin typeface="Arial"/>
              <a:cs typeface="Arial"/>
            </a:rPr>
            <a:t>周</a:t>
          </a:r>
          <a:r>
            <a:rPr lang="zh-CN" altLang="en-US" sz="1100" b="0" i="0" strike="noStrike">
              <a:solidFill>
                <a:srgbClr val="000000"/>
              </a:solidFill>
              <a:latin typeface="宋体"/>
              <a:ea typeface="宋体"/>
            </a:rPr>
            <a:t>高峰期企业总的加班次数和加班概率。</a:t>
          </a:r>
        </a:p>
        <a:p>
          <a:pPr algn="l" rtl="0">
            <a:defRPr sz="1000"/>
          </a:pPr>
          <a:r>
            <a:rPr lang="en-US" altLang="zh-CN" sz="1100" b="0" i="0" strike="noStrike">
              <a:solidFill>
                <a:srgbClr val="000000"/>
              </a:solidFill>
              <a:latin typeface="Arial"/>
              <a:cs typeface="Arial"/>
            </a:rPr>
            <a:t>3</a:t>
          </a:r>
          <a:r>
            <a:rPr lang="zh-CN" altLang="en-US" sz="1100" b="0" i="0" strike="noStrike">
              <a:solidFill>
                <a:srgbClr val="000000"/>
              </a:solidFill>
              <a:latin typeface="宋体"/>
              <a:ea typeface="宋体"/>
            </a:rPr>
            <a:t>、若加班概率超过</a:t>
          </a:r>
          <a:r>
            <a:rPr lang="en-US" altLang="zh-CN" sz="1100" b="0" i="0" strike="noStrike">
              <a:solidFill>
                <a:srgbClr val="000000"/>
              </a:solidFill>
              <a:latin typeface="宋体"/>
              <a:ea typeface="宋体"/>
            </a:rPr>
            <a:t>40%</a:t>
          </a:r>
          <a:r>
            <a:rPr lang="zh-CN" altLang="en-US" sz="1100" b="0" i="0" strike="noStrike">
              <a:solidFill>
                <a:srgbClr val="000000"/>
              </a:solidFill>
              <a:latin typeface="宋体"/>
              <a:ea typeface="宋体"/>
            </a:rPr>
            <a:t>，会引发员工不满的风险。请对加班概率进行</a:t>
          </a:r>
          <a:r>
            <a:rPr lang="en-US" altLang="zh-CN" sz="1100" b="0" i="0" strike="noStrike">
              <a:solidFill>
                <a:srgbClr val="000000"/>
              </a:solidFill>
              <a:latin typeface="Arial"/>
              <a:cs typeface="Arial"/>
            </a:rPr>
            <a:t>50</a:t>
          </a:r>
          <a:r>
            <a:rPr lang="zh-CN" altLang="en-US" sz="1100" b="0" i="0" strike="noStrike">
              <a:solidFill>
                <a:srgbClr val="000000"/>
              </a:solidFill>
              <a:latin typeface="宋体"/>
              <a:ea typeface="宋体"/>
            </a:rPr>
            <a:t>次模拟后，分析加班概率超过</a:t>
          </a:r>
          <a:r>
            <a:rPr lang="en-US" altLang="zh-CN" sz="1100" b="0" i="0" strike="noStrike">
              <a:solidFill>
                <a:srgbClr val="000000"/>
              </a:solidFill>
              <a:latin typeface="宋体"/>
              <a:ea typeface="宋体"/>
            </a:rPr>
            <a:t>4</a:t>
          </a:r>
          <a:r>
            <a:rPr lang="en-US" altLang="zh-CN" sz="1100" b="0" i="0" strike="noStrike">
              <a:solidFill>
                <a:srgbClr val="000000"/>
              </a:solidFill>
              <a:latin typeface="Arial"/>
              <a:cs typeface="Arial"/>
            </a:rPr>
            <a:t>0%</a:t>
          </a:r>
          <a:r>
            <a:rPr lang="zh-CN" altLang="en-US" sz="1100" b="0" i="0" strike="noStrike">
              <a:solidFill>
                <a:srgbClr val="000000"/>
              </a:solidFill>
              <a:latin typeface="Arial"/>
              <a:cs typeface="Arial"/>
            </a:rPr>
            <a:t>的风险概率是</a:t>
          </a:r>
          <a:r>
            <a:rPr lang="zh-CN" altLang="en-US" sz="1100" b="0" i="0" strike="noStrike">
              <a:solidFill>
                <a:srgbClr val="000000"/>
              </a:solidFill>
              <a:latin typeface="宋体"/>
              <a:ea typeface="宋体"/>
            </a:rPr>
            <a:t>多少。</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31532;3&#314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27169;&#25311;&#35797;&#21367;11-&#21442;&#32771;&#31572;&#2669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037;&#20316;/&#25945;&#23398;/&#35745;&#31639;&#26426;&#24212;&#29992;&#35838;&#20214;/&#35745;&#31639;&#26426;&#24212;&#29992;&#35838;&#20214;/&#27169;&#25311;&#35797;&#21367;&#21442;&#32771;&#31572;&#26696;/Set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wdata/&#31532;3&#314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200502/D&#20989;&#25968;&#32771;&#3906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32771;&#35797;&#25104;&#32489;/20050622-0397/&#31572;&#26696;/&#31532;3&#3145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32771;&#35797;&#25104;&#32489;/20050622-0397/&#31572;&#26696;/Set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5838;&#31243;/&#35745;&#31639;&#26426;&#24212;&#29992;/&#32771;&#39064;/2003-1/2002&#31179;&#35745;&#31639;&#26426;&#32771;&#35797;(C)&#31572;&#266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0wang/Quantitative%20method/Simulation/Simulation%20example%201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eaching/2001Fall/&#36741;&#20462;/&#35797;&#39064;&#31572;&#266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gl/yy2/&#32771;&#39064;/2002-01&#32771;&#39064;/Teaching/2001Fall/&#36741;&#20462;/&#35797;&#39064;&#31572;&#266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F/Lesson/ComputerApplication/&#25945;&#23398;&#21442;&#32771;&#36164;&#26009;/&#22797;&#20064;&#36164;&#26009;/&#32508;&#21512;&#32451;&#20064;a_j&#21442;&#32771;&#35299;&#31572;/&#32508;&#21512;&#32451;&#20064;D&#21442;&#32771;&#35299;&#3157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0%20&#35745;&#31639;&#26426;&#24212;&#29992;/2004&#26149;/&#26399;&#26411;&#32771;&#21367;/2004&#26149;&#35745;&#31639;&#26426;&#24212;&#29992;&#39064;&#30446;&#19982;&#35299;&#31572;/&#32463;&#27982;&#35746;&#36135;&#37327;&#32771;&#3906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03_2004_2&#32771;&#35797;&#35797;&#39064;&#31532;2&#31295;/2003-2004&#31532;2&#23398;&#26399;&#36130;&#22823;&#35745;&#31639;&#26426;&#24212;&#29992;&#35797;&#39064;/2004-06&#36879;&#35270;&#34920;&#19982;D&#20989;&#25968;&#32771;&#3906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gl/yy2/&#32771;&#39064;/2001-07&#32771;&#39064;/Exam1/Exam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5745;&#31639;&#26426;&#24212;&#29992;/01-02(1)/2001&#31179;&#35745;&#31639;&#26426;&#24212;&#29992;&#35838;&#31243;&#32771;&#35797;&#39064;A&#31572;&#26696;&#24102;&#35780;&#20998;&#32454;&#21017;.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efreshError="1">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经济订货量-折扣模型问题"/>
      <sheetName val="经济订货量-折扣模型"/>
      <sheetName val="经济订货量-年需求量变化模型问题"/>
      <sheetName val="经济订货量-年需求量变化模型"/>
      <sheetName val="经济订货量-年需求量变化模型图形"/>
      <sheetName val="随机问题1 确定公交车最佳发车间隔问题"/>
      <sheetName val="随机问题1 确定公交车最佳发车间隔"/>
      <sheetName val="随机问题2 估计公交车的收入问题"/>
      <sheetName val="随机问题2 估计公交车的收入"/>
    </sheetNames>
    <sheetDataSet>
      <sheetData sheetId="0" refreshError="1"/>
      <sheetData sheetId="1">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5"/>
  <sheetViews>
    <sheetView workbookViewId="0">
      <selection activeCell="B21" sqref="B21"/>
    </sheetView>
  </sheetViews>
  <sheetFormatPr defaultRowHeight="13.5"/>
  <cols>
    <col min="1" max="2" width="9" style="36"/>
    <col min="3" max="3" width="15" style="36" bestFit="1" customWidth="1"/>
    <col min="4" max="4" width="8.125" style="36" customWidth="1"/>
    <col min="5" max="5" width="4" style="36" customWidth="1"/>
    <col min="6" max="6" width="1" style="36" customWidth="1"/>
    <col min="7" max="16384" width="9" style="36"/>
  </cols>
  <sheetData>
    <row r="1" spans="2:6">
      <c r="B1" s="35"/>
      <c r="C1" s="35"/>
      <c r="D1" s="35"/>
      <c r="E1" s="35"/>
      <c r="F1" s="35"/>
    </row>
    <row r="2" spans="2:6">
      <c r="B2" s="35"/>
      <c r="C2" s="37" t="s">
        <v>50</v>
      </c>
      <c r="D2" s="38">
        <v>60</v>
      </c>
      <c r="E2" s="35"/>
      <c r="F2" s="35"/>
    </row>
    <row r="3" spans="2:6">
      <c r="B3" s="35"/>
      <c r="C3" s="37" t="s">
        <v>51</v>
      </c>
      <c r="D3" s="38">
        <v>380</v>
      </c>
      <c r="E3" s="35"/>
      <c r="F3" s="35"/>
    </row>
    <row r="4" spans="2:6">
      <c r="B4" s="35"/>
      <c r="C4" s="37" t="s">
        <v>52</v>
      </c>
      <c r="D4" s="38">
        <v>100</v>
      </c>
      <c r="E4" s="35"/>
      <c r="F4" s="35"/>
    </row>
    <row r="5" spans="2:6">
      <c r="B5" s="35"/>
      <c r="C5" s="37" t="s">
        <v>53</v>
      </c>
      <c r="D5" s="39">
        <v>0.05</v>
      </c>
      <c r="E5" s="35"/>
      <c r="F5" s="35"/>
    </row>
    <row r="6" spans="2:6">
      <c r="B6" s="35"/>
      <c r="C6" s="37" t="s">
        <v>54</v>
      </c>
      <c r="D6" s="38">
        <v>75</v>
      </c>
      <c r="E6" s="35"/>
      <c r="F6" s="35"/>
    </row>
    <row r="7" spans="2:6" ht="15">
      <c r="B7" s="35"/>
      <c r="C7" s="40"/>
      <c r="D7" s="40"/>
      <c r="E7" s="35"/>
      <c r="F7" s="35"/>
    </row>
    <row r="8" spans="2:6">
      <c r="B8" s="35"/>
      <c r="C8" s="37" t="s">
        <v>55</v>
      </c>
      <c r="D8" s="41">
        <f>D4-D6-D4*D5</f>
        <v>20</v>
      </c>
      <c r="E8" s="35"/>
      <c r="F8" s="35"/>
    </row>
    <row r="9" spans="2:6">
      <c r="B9" s="35"/>
      <c r="C9" s="37" t="s">
        <v>56</v>
      </c>
      <c r="D9" s="41">
        <f>D8/D4</f>
        <v>0.2</v>
      </c>
      <c r="E9" s="35"/>
      <c r="F9" s="35"/>
    </row>
    <row r="10" spans="2:6">
      <c r="B10" s="35"/>
      <c r="C10" s="37" t="s">
        <v>57</v>
      </c>
      <c r="D10" s="41">
        <f>D3+D6*D2</f>
        <v>4880</v>
      </c>
      <c r="E10" s="35"/>
      <c r="F10" s="35"/>
    </row>
    <row r="11" spans="2:6">
      <c r="B11" s="35"/>
      <c r="C11" s="37" t="s">
        <v>58</v>
      </c>
      <c r="D11" s="41">
        <f>D4*D2</f>
        <v>6000</v>
      </c>
      <c r="E11" s="35"/>
      <c r="F11" s="35"/>
    </row>
    <row r="12" spans="2:6">
      <c r="B12" s="35"/>
      <c r="C12" s="37" t="s">
        <v>59</v>
      </c>
      <c r="D12" s="41">
        <f>D5*D11</f>
        <v>300</v>
      </c>
      <c r="E12" s="35"/>
      <c r="F12" s="35"/>
    </row>
    <row r="13" spans="2:6">
      <c r="B13" s="35"/>
      <c r="C13" s="37" t="s">
        <v>60</v>
      </c>
      <c r="D13" s="41">
        <f>D11-D12-D10</f>
        <v>820</v>
      </c>
      <c r="E13" s="35"/>
      <c r="F13" s="35"/>
    </row>
    <row r="14" spans="2:6" ht="15">
      <c r="B14" s="35"/>
      <c r="C14" s="40"/>
      <c r="D14" s="40"/>
      <c r="E14" s="35"/>
      <c r="F14" s="35"/>
    </row>
    <row r="15" spans="2:6">
      <c r="B15" s="35"/>
      <c r="C15" s="37" t="s">
        <v>61</v>
      </c>
      <c r="D15" s="41">
        <f>D3/(D4-D6-D4*D5)</f>
        <v>19</v>
      </c>
      <c r="E15" s="35"/>
      <c r="F15" s="35"/>
    </row>
    <row r="16" spans="2:6">
      <c r="B16" s="35"/>
      <c r="C16" s="37" t="s">
        <v>62</v>
      </c>
      <c r="D16" s="41">
        <f>D15*D4</f>
        <v>1900</v>
      </c>
      <c r="E16" s="35"/>
      <c r="F16" s="35"/>
    </row>
    <row r="17" spans="2:11">
      <c r="B17" s="35"/>
      <c r="C17" s="35"/>
      <c r="D17" s="35"/>
      <c r="E17" s="35"/>
      <c r="F17" s="35"/>
    </row>
    <row r="22" spans="2:11">
      <c r="I22" s="36" t="str">
        <f>C10</f>
        <v>总成本</v>
      </c>
      <c r="J22" s="36" t="str">
        <f>C11</f>
        <v>收益</v>
      </c>
      <c r="K22" s="36" t="str">
        <f>C13</f>
        <v>利润</v>
      </c>
    </row>
    <row r="23" spans="2:11">
      <c r="I23" s="36">
        <f>D10</f>
        <v>4880</v>
      </c>
      <c r="J23" s="36">
        <f>D11</f>
        <v>6000</v>
      </c>
      <c r="K23" s="36">
        <f>D13</f>
        <v>820</v>
      </c>
    </row>
    <row r="24" spans="2:11">
      <c r="H24" s="36">
        <v>10</v>
      </c>
      <c r="I24" s="36">
        <f t="dataTable" ref="I24:K25" dt2D="0" dtr="0" r1="D2"/>
        <v>1130</v>
      </c>
      <c r="J24" s="36">
        <v>1000</v>
      </c>
      <c r="K24" s="36">
        <v>-180</v>
      </c>
    </row>
    <row r="25" spans="2:11">
      <c r="H25" s="36">
        <v>200</v>
      </c>
      <c r="I25" s="36">
        <v>15380</v>
      </c>
      <c r="J25" s="36">
        <v>20000</v>
      </c>
      <c r="K25" s="36">
        <v>3620</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M15"/>
  <sheetViews>
    <sheetView showGridLines="0" topLeftCell="A16" workbookViewId="0">
      <selection activeCell="I19" sqref="I19"/>
    </sheetView>
  </sheetViews>
  <sheetFormatPr defaultColWidth="7.75" defaultRowHeight="18.75" customHeight="1"/>
  <cols>
    <col min="1" max="1" width="1.25" style="44" customWidth="1"/>
    <col min="2" max="2" width="2" style="44" customWidth="1"/>
    <col min="3" max="3" width="21" style="44" customWidth="1"/>
    <col min="4" max="4" width="17" style="44" bestFit="1" customWidth="1"/>
    <col min="5" max="5" width="2" style="44" customWidth="1"/>
    <col min="6" max="6" width="2.375" style="44" customWidth="1"/>
    <col min="7" max="7" width="9.5" style="50" bestFit="1" customWidth="1"/>
    <col min="8" max="8" width="13.125" style="50" customWidth="1"/>
    <col min="9" max="9" width="11.375" style="50" bestFit="1" customWidth="1"/>
    <col min="10" max="10" width="2.625" style="44" customWidth="1"/>
    <col min="11" max="11" width="11.375" style="44" bestFit="1" customWidth="1"/>
    <col min="12" max="12" width="13.125" style="44" bestFit="1" customWidth="1"/>
    <col min="13" max="13" width="13" style="44" bestFit="1" customWidth="1"/>
    <col min="14" max="16384" width="7.75" style="44"/>
  </cols>
  <sheetData>
    <row r="2" spans="2:13" ht="18.75" customHeight="1">
      <c r="B2" s="42"/>
      <c r="C2" s="42"/>
      <c r="D2" s="42"/>
      <c r="E2" s="42"/>
      <c r="F2" s="43"/>
      <c r="G2" s="44"/>
      <c r="H2" s="45" t="str">
        <f>C4</f>
        <v>外购方案</v>
      </c>
      <c r="I2" s="45" t="str">
        <f>C7</f>
        <v>自制方案</v>
      </c>
      <c r="K2" s="45" t="s">
        <v>63</v>
      </c>
      <c r="L2" s="44" t="s">
        <v>64</v>
      </c>
      <c r="M2" s="45" t="s">
        <v>65</v>
      </c>
    </row>
    <row r="3" spans="2:13" ht="18.75" customHeight="1">
      <c r="B3" s="42"/>
      <c r="C3" s="46" t="s">
        <v>66</v>
      </c>
      <c r="D3" s="47">
        <v>3000</v>
      </c>
      <c r="E3" s="48"/>
      <c r="F3" s="49"/>
      <c r="H3" s="51">
        <f>D6</f>
        <v>90000</v>
      </c>
      <c r="I3" s="51">
        <f>D10</f>
        <v>99000</v>
      </c>
      <c r="J3" s="45"/>
      <c r="K3" s="45"/>
      <c r="L3" s="52">
        <f>D12</f>
        <v>3529.4117647058824</v>
      </c>
      <c r="M3" s="52">
        <f>D13</f>
        <v>105882.35294117648</v>
      </c>
    </row>
    <row r="4" spans="2:13" ht="18.75" customHeight="1">
      <c r="B4" s="42"/>
      <c r="C4" s="53" t="s">
        <v>67</v>
      </c>
      <c r="D4" s="42"/>
      <c r="E4" s="48"/>
      <c r="F4" s="49"/>
      <c r="G4" s="54">
        <v>2000</v>
      </c>
      <c r="H4" s="55">
        <f t="dataTable" ref="H4:I12" dt2D="0" dtr="0" r1="D3"/>
        <v>60000</v>
      </c>
      <c r="I4" s="55">
        <v>86000</v>
      </c>
      <c r="J4" s="45"/>
      <c r="K4" s="56">
        <v>11</v>
      </c>
      <c r="L4" s="52">
        <f t="dataTable" ref="L4:M8" dt2D="0" dtr="0" r1="D9"/>
        <v>3157.8947368421054</v>
      </c>
      <c r="M4" s="52">
        <v>94736.84210526316</v>
      </c>
    </row>
    <row r="5" spans="2:13" ht="18.75" customHeight="1">
      <c r="B5" s="42"/>
      <c r="C5" s="46" t="s">
        <v>68</v>
      </c>
      <c r="D5" s="57">
        <v>30</v>
      </c>
      <c r="E5" s="48"/>
      <c r="F5" s="49"/>
      <c r="G5" s="54">
        <v>2500</v>
      </c>
      <c r="H5" s="55">
        <v>75000</v>
      </c>
      <c r="I5" s="55">
        <v>92500</v>
      </c>
      <c r="J5" s="45"/>
      <c r="K5" s="56">
        <v>12</v>
      </c>
      <c r="L5" s="52">
        <v>3333.3333333333335</v>
      </c>
      <c r="M5" s="52">
        <v>100000</v>
      </c>
    </row>
    <row r="6" spans="2:13" ht="18.75" customHeight="1">
      <c r="B6" s="42"/>
      <c r="C6" s="46" t="s">
        <v>69</v>
      </c>
      <c r="D6" s="58">
        <f>D5*D3</f>
        <v>90000</v>
      </c>
      <c r="E6" s="48"/>
      <c r="F6" s="49"/>
      <c r="G6" s="54">
        <v>3000</v>
      </c>
      <c r="H6" s="55">
        <v>90000</v>
      </c>
      <c r="I6" s="55">
        <v>99000</v>
      </c>
      <c r="J6" s="45"/>
      <c r="K6" s="56">
        <v>13</v>
      </c>
      <c r="L6" s="52">
        <v>3529.4117647058824</v>
      </c>
      <c r="M6" s="52">
        <v>105882.35294117648</v>
      </c>
    </row>
    <row r="7" spans="2:13" ht="18.75" customHeight="1">
      <c r="B7" s="42"/>
      <c r="C7" s="53" t="s">
        <v>70</v>
      </c>
      <c r="D7" s="59"/>
      <c r="E7" s="42"/>
      <c r="F7" s="49"/>
      <c r="G7" s="54">
        <v>3500</v>
      </c>
      <c r="H7" s="55">
        <v>105000</v>
      </c>
      <c r="I7" s="55">
        <v>105500</v>
      </c>
      <c r="J7" s="45"/>
      <c r="K7" s="56">
        <v>14</v>
      </c>
      <c r="L7" s="52">
        <v>3750</v>
      </c>
      <c r="M7" s="52">
        <v>112500</v>
      </c>
    </row>
    <row r="8" spans="2:13" ht="18.75" customHeight="1">
      <c r="B8" s="42"/>
      <c r="C8" s="46" t="s">
        <v>71</v>
      </c>
      <c r="D8" s="57">
        <v>60000</v>
      </c>
      <c r="E8" s="42"/>
      <c r="F8" s="43"/>
      <c r="G8" s="54">
        <v>4000</v>
      </c>
      <c r="H8" s="55">
        <v>120000</v>
      </c>
      <c r="I8" s="55">
        <v>112000</v>
      </c>
      <c r="J8" s="45"/>
      <c r="K8" s="56">
        <v>15</v>
      </c>
      <c r="L8" s="52">
        <v>4000</v>
      </c>
      <c r="M8" s="52">
        <v>120000</v>
      </c>
    </row>
    <row r="9" spans="2:13" ht="18.75" customHeight="1">
      <c r="B9" s="42"/>
      <c r="C9" s="46" t="s">
        <v>72</v>
      </c>
      <c r="D9" s="57">
        <v>13</v>
      </c>
      <c r="E9" s="60"/>
      <c r="F9" s="43"/>
      <c r="G9" s="54">
        <v>4500</v>
      </c>
      <c r="H9" s="55">
        <v>135000</v>
      </c>
      <c r="I9" s="61">
        <v>118500</v>
      </c>
    </row>
    <row r="10" spans="2:13" ht="18.75" customHeight="1">
      <c r="B10" s="42"/>
      <c r="C10" s="46" t="s">
        <v>73</v>
      </c>
      <c r="D10" s="58">
        <f>D8+D9*D3</f>
        <v>99000</v>
      </c>
      <c r="E10" s="42"/>
      <c r="G10" s="54">
        <v>5000</v>
      </c>
      <c r="H10" s="55">
        <v>150000</v>
      </c>
      <c r="I10" s="61">
        <v>125000</v>
      </c>
    </row>
    <row r="11" spans="2:13" ht="18.75" customHeight="1">
      <c r="B11" s="42"/>
      <c r="C11" s="60"/>
      <c r="D11" s="62"/>
      <c r="E11" s="42"/>
      <c r="F11" s="43"/>
      <c r="G11" s="54">
        <v>5500</v>
      </c>
      <c r="H11" s="55">
        <v>165000</v>
      </c>
      <c r="I11" s="61">
        <v>131500</v>
      </c>
    </row>
    <row r="12" spans="2:13" ht="18.75" customHeight="1">
      <c r="B12" s="42"/>
      <c r="C12" s="46" t="s">
        <v>64</v>
      </c>
      <c r="D12" s="63">
        <f>D8/(D5-D9)</f>
        <v>3529.4117647058824</v>
      </c>
      <c r="E12" s="42"/>
      <c r="F12" s="43"/>
      <c r="G12" s="54">
        <v>6000</v>
      </c>
      <c r="H12" s="55">
        <v>180000</v>
      </c>
      <c r="I12" s="61">
        <v>138000</v>
      </c>
    </row>
    <row r="13" spans="2:13" ht="18.75" customHeight="1">
      <c r="B13" s="60"/>
      <c r="C13" s="46" t="s">
        <v>74</v>
      </c>
      <c r="D13" s="58">
        <f>D5*D12</f>
        <v>105882.35294117648</v>
      </c>
      <c r="E13" s="60"/>
      <c r="F13" s="43"/>
      <c r="I13" s="44"/>
    </row>
    <row r="14" spans="2:13" ht="18.75" customHeight="1">
      <c r="B14" s="60"/>
      <c r="C14" s="60"/>
      <c r="D14" s="64"/>
      <c r="E14" s="60"/>
      <c r="I14" s="44"/>
    </row>
    <row r="15" spans="2:13" ht="18.75" customHeight="1">
      <c r="F15" s="50"/>
      <c r="I15" s="44"/>
    </row>
  </sheetData>
  <phoneticPr fontId="4" type="noConversion"/>
  <printOptions headings="1" gridLinesSet="0"/>
  <pageMargins left="0.75" right="0.75" top="1" bottom="1" header="0.5" footer="0.5"/>
  <pageSetup orientation="portrait" horizontalDpi="180" verticalDpi="180" r:id="rId1"/>
  <headerFooter alignWithMargins="0">
    <oddHeader>&amp;A</oddHeader>
    <oddFooter>Page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Spinner 1">
              <controlPr defaultSize="0" autoPict="0">
                <anchor moveWithCells="1" sizeWithCells="1">
                  <from>
                    <xdr:col>3</xdr:col>
                    <xdr:colOff>628650</xdr:colOff>
                    <xdr:row>16</xdr:row>
                    <xdr:rowOff>47625</xdr:rowOff>
                  </from>
                  <to>
                    <xdr:col>3</xdr:col>
                    <xdr:colOff>857250</xdr:colOff>
                    <xdr:row>17</xdr:row>
                    <xdr:rowOff>95250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P26"/>
  <sheetViews>
    <sheetView tabSelected="1" topLeftCell="A25" workbookViewId="0">
      <selection activeCell="L36" sqref="L36"/>
    </sheetView>
  </sheetViews>
  <sheetFormatPr defaultColWidth="8.75" defaultRowHeight="13.15" customHeight="1"/>
  <cols>
    <col min="1" max="1" width="1.125" style="65" customWidth="1"/>
    <col min="2" max="2" width="2" style="65" customWidth="1"/>
    <col min="3" max="3" width="22.75" style="66" bestFit="1" customWidth="1"/>
    <col min="4" max="4" width="13.5" style="65" customWidth="1"/>
    <col min="5" max="5" width="2.625" style="65" customWidth="1"/>
    <col min="6" max="6" width="3.875" style="65" customWidth="1"/>
    <col min="7" max="7" width="3" style="65" customWidth="1"/>
    <col min="8" max="8" width="12.625" style="65" customWidth="1"/>
    <col min="9" max="9" width="14.375" style="65" customWidth="1"/>
    <col min="10" max="10" width="2.5" style="65" customWidth="1"/>
    <col min="11" max="12" width="8.75" style="65"/>
    <col min="13" max="13" width="10.5" style="65" bestFit="1" customWidth="1"/>
    <col min="14" max="15" width="8.75" style="65"/>
    <col min="16" max="16" width="10.5" style="65" bestFit="1" customWidth="1"/>
    <col min="17" max="254" width="8.75" style="65"/>
    <col min="255" max="255" width="1.125" style="65" customWidth="1"/>
    <col min="256" max="256" width="2" style="65" customWidth="1"/>
    <col min="257" max="257" width="18.625" style="65" bestFit="1" customWidth="1"/>
    <col min="258" max="258" width="6.75" style="65" customWidth="1"/>
    <col min="259" max="259" width="2.625" style="65" customWidth="1"/>
    <col min="260" max="260" width="2.375" style="65" customWidth="1"/>
    <col min="261" max="264" width="8.75" style="65" customWidth="1"/>
    <col min="265" max="266" width="15" style="65" bestFit="1" customWidth="1"/>
    <col min="267" max="510" width="8.75" style="65"/>
    <col min="511" max="511" width="1.125" style="65" customWidth="1"/>
    <col min="512" max="512" width="2" style="65" customWidth="1"/>
    <col min="513" max="513" width="18.625" style="65" bestFit="1" customWidth="1"/>
    <col min="514" max="514" width="6.75" style="65" customWidth="1"/>
    <col min="515" max="515" width="2.625" style="65" customWidth="1"/>
    <col min="516" max="516" width="2.375" style="65" customWidth="1"/>
    <col min="517" max="520" width="8.75" style="65" customWidth="1"/>
    <col min="521" max="522" width="15" style="65" bestFit="1" customWidth="1"/>
    <col min="523" max="766" width="8.75" style="65"/>
    <col min="767" max="767" width="1.125" style="65" customWidth="1"/>
    <col min="768" max="768" width="2" style="65" customWidth="1"/>
    <col min="769" max="769" width="18.625" style="65" bestFit="1" customWidth="1"/>
    <col min="770" max="770" width="6.75" style="65" customWidth="1"/>
    <col min="771" max="771" width="2.625" style="65" customWidth="1"/>
    <col min="772" max="772" width="2.375" style="65" customWidth="1"/>
    <col min="773" max="776" width="8.75" style="65" customWidth="1"/>
    <col min="777" max="778" width="15" style="65" bestFit="1" customWidth="1"/>
    <col min="779" max="1022" width="8.75" style="65"/>
    <col min="1023" max="1023" width="1.125" style="65" customWidth="1"/>
    <col min="1024" max="1024" width="2" style="65" customWidth="1"/>
    <col min="1025" max="1025" width="18.625" style="65" bestFit="1" customWidth="1"/>
    <col min="1026" max="1026" width="6.75" style="65" customWidth="1"/>
    <col min="1027" max="1027" width="2.625" style="65" customWidth="1"/>
    <col min="1028" max="1028" width="2.375" style="65" customWidth="1"/>
    <col min="1029" max="1032" width="8.75" style="65" customWidth="1"/>
    <col min="1033" max="1034" width="15" style="65" bestFit="1" customWidth="1"/>
    <col min="1035" max="1278" width="8.75" style="65"/>
    <col min="1279" max="1279" width="1.125" style="65" customWidth="1"/>
    <col min="1280" max="1280" width="2" style="65" customWidth="1"/>
    <col min="1281" max="1281" width="18.625" style="65" bestFit="1" customWidth="1"/>
    <col min="1282" max="1282" width="6.75" style="65" customWidth="1"/>
    <col min="1283" max="1283" width="2.625" style="65" customWidth="1"/>
    <col min="1284" max="1284" width="2.375" style="65" customWidth="1"/>
    <col min="1285" max="1288" width="8.75" style="65" customWidth="1"/>
    <col min="1289" max="1290" width="15" style="65" bestFit="1" customWidth="1"/>
    <col min="1291" max="1534" width="8.75" style="65"/>
    <col min="1535" max="1535" width="1.125" style="65" customWidth="1"/>
    <col min="1536" max="1536" width="2" style="65" customWidth="1"/>
    <col min="1537" max="1537" width="18.625" style="65" bestFit="1" customWidth="1"/>
    <col min="1538" max="1538" width="6.75" style="65" customWidth="1"/>
    <col min="1539" max="1539" width="2.625" style="65" customWidth="1"/>
    <col min="1540" max="1540" width="2.375" style="65" customWidth="1"/>
    <col min="1541" max="1544" width="8.75" style="65" customWidth="1"/>
    <col min="1545" max="1546" width="15" style="65" bestFit="1" customWidth="1"/>
    <col min="1547" max="1790" width="8.75" style="65"/>
    <col min="1791" max="1791" width="1.125" style="65" customWidth="1"/>
    <col min="1792" max="1792" width="2" style="65" customWidth="1"/>
    <col min="1793" max="1793" width="18.625" style="65" bestFit="1" customWidth="1"/>
    <col min="1794" max="1794" width="6.75" style="65" customWidth="1"/>
    <col min="1795" max="1795" width="2.625" style="65" customWidth="1"/>
    <col min="1796" max="1796" width="2.375" style="65" customWidth="1"/>
    <col min="1797" max="1800" width="8.75" style="65" customWidth="1"/>
    <col min="1801" max="1802" width="15" style="65" bestFit="1" customWidth="1"/>
    <col min="1803" max="2046" width="8.75" style="65"/>
    <col min="2047" max="2047" width="1.125" style="65" customWidth="1"/>
    <col min="2048" max="2048" width="2" style="65" customWidth="1"/>
    <col min="2049" max="2049" width="18.625" style="65" bestFit="1" customWidth="1"/>
    <col min="2050" max="2050" width="6.75" style="65" customWidth="1"/>
    <col min="2051" max="2051" width="2.625" style="65" customWidth="1"/>
    <col min="2052" max="2052" width="2.375" style="65" customWidth="1"/>
    <col min="2053" max="2056" width="8.75" style="65" customWidth="1"/>
    <col min="2057" max="2058" width="15" style="65" bestFit="1" customWidth="1"/>
    <col min="2059" max="2302" width="8.75" style="65"/>
    <col min="2303" max="2303" width="1.125" style="65" customWidth="1"/>
    <col min="2304" max="2304" width="2" style="65" customWidth="1"/>
    <col min="2305" max="2305" width="18.625" style="65" bestFit="1" customWidth="1"/>
    <col min="2306" max="2306" width="6.75" style="65" customWidth="1"/>
    <col min="2307" max="2307" width="2.625" style="65" customWidth="1"/>
    <col min="2308" max="2308" width="2.375" style="65" customWidth="1"/>
    <col min="2309" max="2312" width="8.75" style="65" customWidth="1"/>
    <col min="2313" max="2314" width="15" style="65" bestFit="1" customWidth="1"/>
    <col min="2315" max="2558" width="8.75" style="65"/>
    <col min="2559" max="2559" width="1.125" style="65" customWidth="1"/>
    <col min="2560" max="2560" width="2" style="65" customWidth="1"/>
    <col min="2561" max="2561" width="18.625" style="65" bestFit="1" customWidth="1"/>
    <col min="2562" max="2562" width="6.75" style="65" customWidth="1"/>
    <col min="2563" max="2563" width="2.625" style="65" customWidth="1"/>
    <col min="2564" max="2564" width="2.375" style="65" customWidth="1"/>
    <col min="2565" max="2568" width="8.75" style="65" customWidth="1"/>
    <col min="2569" max="2570" width="15" style="65" bestFit="1" customWidth="1"/>
    <col min="2571" max="2814" width="8.75" style="65"/>
    <col min="2815" max="2815" width="1.125" style="65" customWidth="1"/>
    <col min="2816" max="2816" width="2" style="65" customWidth="1"/>
    <col min="2817" max="2817" width="18.625" style="65" bestFit="1" customWidth="1"/>
    <col min="2818" max="2818" width="6.75" style="65" customWidth="1"/>
    <col min="2819" max="2819" width="2.625" style="65" customWidth="1"/>
    <col min="2820" max="2820" width="2.375" style="65" customWidth="1"/>
    <col min="2821" max="2824" width="8.75" style="65" customWidth="1"/>
    <col min="2825" max="2826" width="15" style="65" bestFit="1" customWidth="1"/>
    <col min="2827" max="3070" width="8.75" style="65"/>
    <col min="3071" max="3071" width="1.125" style="65" customWidth="1"/>
    <col min="3072" max="3072" width="2" style="65" customWidth="1"/>
    <col min="3073" max="3073" width="18.625" style="65" bestFit="1" customWidth="1"/>
    <col min="3074" max="3074" width="6.75" style="65" customWidth="1"/>
    <col min="3075" max="3075" width="2.625" style="65" customWidth="1"/>
    <col min="3076" max="3076" width="2.375" style="65" customWidth="1"/>
    <col min="3077" max="3080" width="8.75" style="65" customWidth="1"/>
    <col min="3081" max="3082" width="15" style="65" bestFit="1" customWidth="1"/>
    <col min="3083" max="3326" width="8.75" style="65"/>
    <col min="3327" max="3327" width="1.125" style="65" customWidth="1"/>
    <col min="3328" max="3328" width="2" style="65" customWidth="1"/>
    <col min="3329" max="3329" width="18.625" style="65" bestFit="1" customWidth="1"/>
    <col min="3330" max="3330" width="6.75" style="65" customWidth="1"/>
    <col min="3331" max="3331" width="2.625" style="65" customWidth="1"/>
    <col min="3332" max="3332" width="2.375" style="65" customWidth="1"/>
    <col min="3333" max="3336" width="8.75" style="65" customWidth="1"/>
    <col min="3337" max="3338" width="15" style="65" bestFit="1" customWidth="1"/>
    <col min="3339" max="3582" width="8.75" style="65"/>
    <col min="3583" max="3583" width="1.125" style="65" customWidth="1"/>
    <col min="3584" max="3584" width="2" style="65" customWidth="1"/>
    <col min="3585" max="3585" width="18.625" style="65" bestFit="1" customWidth="1"/>
    <col min="3586" max="3586" width="6.75" style="65" customWidth="1"/>
    <col min="3587" max="3587" width="2.625" style="65" customWidth="1"/>
    <col min="3588" max="3588" width="2.375" style="65" customWidth="1"/>
    <col min="3589" max="3592" width="8.75" style="65" customWidth="1"/>
    <col min="3593" max="3594" width="15" style="65" bestFit="1" customWidth="1"/>
    <col min="3595" max="3838" width="8.75" style="65"/>
    <col min="3839" max="3839" width="1.125" style="65" customWidth="1"/>
    <col min="3840" max="3840" width="2" style="65" customWidth="1"/>
    <col min="3841" max="3841" width="18.625" style="65" bestFit="1" customWidth="1"/>
    <col min="3842" max="3842" width="6.75" style="65" customWidth="1"/>
    <col min="3843" max="3843" width="2.625" style="65" customWidth="1"/>
    <col min="3844" max="3844" width="2.375" style="65" customWidth="1"/>
    <col min="3845" max="3848" width="8.75" style="65" customWidth="1"/>
    <col min="3849" max="3850" width="15" style="65" bestFit="1" customWidth="1"/>
    <col min="3851" max="4094" width="8.75" style="65"/>
    <col min="4095" max="4095" width="1.125" style="65" customWidth="1"/>
    <col min="4096" max="4096" width="2" style="65" customWidth="1"/>
    <col min="4097" max="4097" width="18.625" style="65" bestFit="1" customWidth="1"/>
    <col min="4098" max="4098" width="6.75" style="65" customWidth="1"/>
    <col min="4099" max="4099" width="2.625" style="65" customWidth="1"/>
    <col min="4100" max="4100" width="2.375" style="65" customWidth="1"/>
    <col min="4101" max="4104" width="8.75" style="65" customWidth="1"/>
    <col min="4105" max="4106" width="15" style="65" bestFit="1" customWidth="1"/>
    <col min="4107" max="4350" width="8.75" style="65"/>
    <col min="4351" max="4351" width="1.125" style="65" customWidth="1"/>
    <col min="4352" max="4352" width="2" style="65" customWidth="1"/>
    <col min="4353" max="4353" width="18.625" style="65" bestFit="1" customWidth="1"/>
    <col min="4354" max="4354" width="6.75" style="65" customWidth="1"/>
    <col min="4355" max="4355" width="2.625" style="65" customWidth="1"/>
    <col min="4356" max="4356" width="2.375" style="65" customWidth="1"/>
    <col min="4357" max="4360" width="8.75" style="65" customWidth="1"/>
    <col min="4361" max="4362" width="15" style="65" bestFit="1" customWidth="1"/>
    <col min="4363" max="4606" width="8.75" style="65"/>
    <col min="4607" max="4607" width="1.125" style="65" customWidth="1"/>
    <col min="4608" max="4608" width="2" style="65" customWidth="1"/>
    <col min="4609" max="4609" width="18.625" style="65" bestFit="1" customWidth="1"/>
    <col min="4610" max="4610" width="6.75" style="65" customWidth="1"/>
    <col min="4611" max="4611" width="2.625" style="65" customWidth="1"/>
    <col min="4612" max="4612" width="2.375" style="65" customWidth="1"/>
    <col min="4613" max="4616" width="8.75" style="65" customWidth="1"/>
    <col min="4617" max="4618" width="15" style="65" bestFit="1" customWidth="1"/>
    <col min="4619" max="4862" width="8.75" style="65"/>
    <col min="4863" max="4863" width="1.125" style="65" customWidth="1"/>
    <col min="4864" max="4864" width="2" style="65" customWidth="1"/>
    <col min="4865" max="4865" width="18.625" style="65" bestFit="1" customWidth="1"/>
    <col min="4866" max="4866" width="6.75" style="65" customWidth="1"/>
    <col min="4867" max="4867" width="2.625" style="65" customWidth="1"/>
    <col min="4868" max="4868" width="2.375" style="65" customWidth="1"/>
    <col min="4869" max="4872" width="8.75" style="65" customWidth="1"/>
    <col min="4873" max="4874" width="15" style="65" bestFit="1" customWidth="1"/>
    <col min="4875" max="5118" width="8.75" style="65"/>
    <col min="5119" max="5119" width="1.125" style="65" customWidth="1"/>
    <col min="5120" max="5120" width="2" style="65" customWidth="1"/>
    <col min="5121" max="5121" width="18.625" style="65" bestFit="1" customWidth="1"/>
    <col min="5122" max="5122" width="6.75" style="65" customWidth="1"/>
    <col min="5123" max="5123" width="2.625" style="65" customWidth="1"/>
    <col min="5124" max="5124" width="2.375" style="65" customWidth="1"/>
    <col min="5125" max="5128" width="8.75" style="65" customWidth="1"/>
    <col min="5129" max="5130" width="15" style="65" bestFit="1" customWidth="1"/>
    <col min="5131" max="5374" width="8.75" style="65"/>
    <col min="5375" max="5375" width="1.125" style="65" customWidth="1"/>
    <col min="5376" max="5376" width="2" style="65" customWidth="1"/>
    <col min="5377" max="5377" width="18.625" style="65" bestFit="1" customWidth="1"/>
    <col min="5378" max="5378" width="6.75" style="65" customWidth="1"/>
    <col min="5379" max="5379" width="2.625" style="65" customWidth="1"/>
    <col min="5380" max="5380" width="2.375" style="65" customWidth="1"/>
    <col min="5381" max="5384" width="8.75" style="65" customWidth="1"/>
    <col min="5385" max="5386" width="15" style="65" bestFit="1" customWidth="1"/>
    <col min="5387" max="5630" width="8.75" style="65"/>
    <col min="5631" max="5631" width="1.125" style="65" customWidth="1"/>
    <col min="5632" max="5632" width="2" style="65" customWidth="1"/>
    <col min="5633" max="5633" width="18.625" style="65" bestFit="1" customWidth="1"/>
    <col min="5634" max="5634" width="6.75" style="65" customWidth="1"/>
    <col min="5635" max="5635" width="2.625" style="65" customWidth="1"/>
    <col min="5636" max="5636" width="2.375" style="65" customWidth="1"/>
    <col min="5637" max="5640" width="8.75" style="65" customWidth="1"/>
    <col min="5641" max="5642" width="15" style="65" bestFit="1" customWidth="1"/>
    <col min="5643" max="5886" width="8.75" style="65"/>
    <col min="5887" max="5887" width="1.125" style="65" customWidth="1"/>
    <col min="5888" max="5888" width="2" style="65" customWidth="1"/>
    <col min="5889" max="5889" width="18.625" style="65" bestFit="1" customWidth="1"/>
    <col min="5890" max="5890" width="6.75" style="65" customWidth="1"/>
    <col min="5891" max="5891" width="2.625" style="65" customWidth="1"/>
    <col min="5892" max="5892" width="2.375" style="65" customWidth="1"/>
    <col min="5893" max="5896" width="8.75" style="65" customWidth="1"/>
    <col min="5897" max="5898" width="15" style="65" bestFit="1" customWidth="1"/>
    <col min="5899" max="6142" width="8.75" style="65"/>
    <col min="6143" max="6143" width="1.125" style="65" customWidth="1"/>
    <col min="6144" max="6144" width="2" style="65" customWidth="1"/>
    <col min="6145" max="6145" width="18.625" style="65" bestFit="1" customWidth="1"/>
    <col min="6146" max="6146" width="6.75" style="65" customWidth="1"/>
    <col min="6147" max="6147" width="2.625" style="65" customWidth="1"/>
    <col min="6148" max="6148" width="2.375" style="65" customWidth="1"/>
    <col min="6149" max="6152" width="8.75" style="65" customWidth="1"/>
    <col min="6153" max="6154" width="15" style="65" bestFit="1" customWidth="1"/>
    <col min="6155" max="6398" width="8.75" style="65"/>
    <col min="6399" max="6399" width="1.125" style="65" customWidth="1"/>
    <col min="6400" max="6400" width="2" style="65" customWidth="1"/>
    <col min="6401" max="6401" width="18.625" style="65" bestFit="1" customWidth="1"/>
    <col min="6402" max="6402" width="6.75" style="65" customWidth="1"/>
    <col min="6403" max="6403" width="2.625" style="65" customWidth="1"/>
    <col min="6404" max="6404" width="2.375" style="65" customWidth="1"/>
    <col min="6405" max="6408" width="8.75" style="65" customWidth="1"/>
    <col min="6409" max="6410" width="15" style="65" bestFit="1" customWidth="1"/>
    <col min="6411" max="6654" width="8.75" style="65"/>
    <col min="6655" max="6655" width="1.125" style="65" customWidth="1"/>
    <col min="6656" max="6656" width="2" style="65" customWidth="1"/>
    <col min="6657" max="6657" width="18.625" style="65" bestFit="1" customWidth="1"/>
    <col min="6658" max="6658" width="6.75" style="65" customWidth="1"/>
    <col min="6659" max="6659" width="2.625" style="65" customWidth="1"/>
    <col min="6660" max="6660" width="2.375" style="65" customWidth="1"/>
    <col min="6661" max="6664" width="8.75" style="65" customWidth="1"/>
    <col min="6665" max="6666" width="15" style="65" bestFit="1" customWidth="1"/>
    <col min="6667" max="6910" width="8.75" style="65"/>
    <col min="6911" max="6911" width="1.125" style="65" customWidth="1"/>
    <col min="6912" max="6912" width="2" style="65" customWidth="1"/>
    <col min="6913" max="6913" width="18.625" style="65" bestFit="1" customWidth="1"/>
    <col min="6914" max="6914" width="6.75" style="65" customWidth="1"/>
    <col min="6915" max="6915" width="2.625" style="65" customWidth="1"/>
    <col min="6916" max="6916" width="2.375" style="65" customWidth="1"/>
    <col min="6917" max="6920" width="8.75" style="65" customWidth="1"/>
    <col min="6921" max="6922" width="15" style="65" bestFit="1" customWidth="1"/>
    <col min="6923" max="7166" width="8.75" style="65"/>
    <col min="7167" max="7167" width="1.125" style="65" customWidth="1"/>
    <col min="7168" max="7168" width="2" style="65" customWidth="1"/>
    <col min="7169" max="7169" width="18.625" style="65" bestFit="1" customWidth="1"/>
    <col min="7170" max="7170" width="6.75" style="65" customWidth="1"/>
    <col min="7171" max="7171" width="2.625" style="65" customWidth="1"/>
    <col min="7172" max="7172" width="2.375" style="65" customWidth="1"/>
    <col min="7173" max="7176" width="8.75" style="65" customWidth="1"/>
    <col min="7177" max="7178" width="15" style="65" bestFit="1" customWidth="1"/>
    <col min="7179" max="7422" width="8.75" style="65"/>
    <col min="7423" max="7423" width="1.125" style="65" customWidth="1"/>
    <col min="7424" max="7424" width="2" style="65" customWidth="1"/>
    <col min="7425" max="7425" width="18.625" style="65" bestFit="1" customWidth="1"/>
    <col min="7426" max="7426" width="6.75" style="65" customWidth="1"/>
    <col min="7427" max="7427" width="2.625" style="65" customWidth="1"/>
    <col min="7428" max="7428" width="2.375" style="65" customWidth="1"/>
    <col min="7429" max="7432" width="8.75" style="65" customWidth="1"/>
    <col min="7433" max="7434" width="15" style="65" bestFit="1" customWidth="1"/>
    <col min="7435" max="7678" width="8.75" style="65"/>
    <col min="7679" max="7679" width="1.125" style="65" customWidth="1"/>
    <col min="7680" max="7680" width="2" style="65" customWidth="1"/>
    <col min="7681" max="7681" width="18.625" style="65" bestFit="1" customWidth="1"/>
    <col min="7682" max="7682" width="6.75" style="65" customWidth="1"/>
    <col min="7683" max="7683" width="2.625" style="65" customWidth="1"/>
    <col min="7684" max="7684" width="2.375" style="65" customWidth="1"/>
    <col min="7685" max="7688" width="8.75" style="65" customWidth="1"/>
    <col min="7689" max="7690" width="15" style="65" bestFit="1" customWidth="1"/>
    <col min="7691" max="7934" width="8.75" style="65"/>
    <col min="7935" max="7935" width="1.125" style="65" customWidth="1"/>
    <col min="7936" max="7936" width="2" style="65" customWidth="1"/>
    <col min="7937" max="7937" width="18.625" style="65" bestFit="1" customWidth="1"/>
    <col min="7938" max="7938" width="6.75" style="65" customWidth="1"/>
    <col min="7939" max="7939" width="2.625" style="65" customWidth="1"/>
    <col min="7940" max="7940" width="2.375" style="65" customWidth="1"/>
    <col min="7941" max="7944" width="8.75" style="65" customWidth="1"/>
    <col min="7945" max="7946" width="15" style="65" bestFit="1" customWidth="1"/>
    <col min="7947" max="8190" width="8.75" style="65"/>
    <col min="8191" max="8191" width="1.125" style="65" customWidth="1"/>
    <col min="8192" max="8192" width="2" style="65" customWidth="1"/>
    <col min="8193" max="8193" width="18.625" style="65" bestFit="1" customWidth="1"/>
    <col min="8194" max="8194" width="6.75" style="65" customWidth="1"/>
    <col min="8195" max="8195" width="2.625" style="65" customWidth="1"/>
    <col min="8196" max="8196" width="2.375" style="65" customWidth="1"/>
    <col min="8197" max="8200" width="8.75" style="65" customWidth="1"/>
    <col min="8201" max="8202" width="15" style="65" bestFit="1" customWidth="1"/>
    <col min="8203" max="8446" width="8.75" style="65"/>
    <col min="8447" max="8447" width="1.125" style="65" customWidth="1"/>
    <col min="8448" max="8448" width="2" style="65" customWidth="1"/>
    <col min="8449" max="8449" width="18.625" style="65" bestFit="1" customWidth="1"/>
    <col min="8450" max="8450" width="6.75" style="65" customWidth="1"/>
    <col min="8451" max="8451" width="2.625" style="65" customWidth="1"/>
    <col min="8452" max="8452" width="2.375" style="65" customWidth="1"/>
    <col min="8453" max="8456" width="8.75" style="65" customWidth="1"/>
    <col min="8457" max="8458" width="15" style="65" bestFit="1" customWidth="1"/>
    <col min="8459" max="8702" width="8.75" style="65"/>
    <col min="8703" max="8703" width="1.125" style="65" customWidth="1"/>
    <col min="8704" max="8704" width="2" style="65" customWidth="1"/>
    <col min="8705" max="8705" width="18.625" style="65" bestFit="1" customWidth="1"/>
    <col min="8706" max="8706" width="6.75" style="65" customWidth="1"/>
    <col min="8707" max="8707" width="2.625" style="65" customWidth="1"/>
    <col min="8708" max="8708" width="2.375" style="65" customWidth="1"/>
    <col min="8709" max="8712" width="8.75" style="65" customWidth="1"/>
    <col min="8713" max="8714" width="15" style="65" bestFit="1" customWidth="1"/>
    <col min="8715" max="8958" width="8.75" style="65"/>
    <col min="8959" max="8959" width="1.125" style="65" customWidth="1"/>
    <col min="8960" max="8960" width="2" style="65" customWidth="1"/>
    <col min="8961" max="8961" width="18.625" style="65" bestFit="1" customWidth="1"/>
    <col min="8962" max="8962" width="6.75" style="65" customWidth="1"/>
    <col min="8963" max="8963" width="2.625" style="65" customWidth="1"/>
    <col min="8964" max="8964" width="2.375" style="65" customWidth="1"/>
    <col min="8965" max="8968" width="8.75" style="65" customWidth="1"/>
    <col min="8969" max="8970" width="15" style="65" bestFit="1" customWidth="1"/>
    <col min="8971" max="9214" width="8.75" style="65"/>
    <col min="9215" max="9215" width="1.125" style="65" customWidth="1"/>
    <col min="9216" max="9216" width="2" style="65" customWidth="1"/>
    <col min="9217" max="9217" width="18.625" style="65" bestFit="1" customWidth="1"/>
    <col min="9218" max="9218" width="6.75" style="65" customWidth="1"/>
    <col min="9219" max="9219" width="2.625" style="65" customWidth="1"/>
    <col min="9220" max="9220" width="2.375" style="65" customWidth="1"/>
    <col min="9221" max="9224" width="8.75" style="65" customWidth="1"/>
    <col min="9225" max="9226" width="15" style="65" bestFit="1" customWidth="1"/>
    <col min="9227" max="9470" width="8.75" style="65"/>
    <col min="9471" max="9471" width="1.125" style="65" customWidth="1"/>
    <col min="9472" max="9472" width="2" style="65" customWidth="1"/>
    <col min="9473" max="9473" width="18.625" style="65" bestFit="1" customWidth="1"/>
    <col min="9474" max="9474" width="6.75" style="65" customWidth="1"/>
    <col min="9475" max="9475" width="2.625" style="65" customWidth="1"/>
    <col min="9476" max="9476" width="2.375" style="65" customWidth="1"/>
    <col min="9477" max="9480" width="8.75" style="65" customWidth="1"/>
    <col min="9481" max="9482" width="15" style="65" bestFit="1" customWidth="1"/>
    <col min="9483" max="9726" width="8.75" style="65"/>
    <col min="9727" max="9727" width="1.125" style="65" customWidth="1"/>
    <col min="9728" max="9728" width="2" style="65" customWidth="1"/>
    <col min="9729" max="9729" width="18.625" style="65" bestFit="1" customWidth="1"/>
    <col min="9730" max="9730" width="6.75" style="65" customWidth="1"/>
    <col min="9731" max="9731" width="2.625" style="65" customWidth="1"/>
    <col min="9732" max="9732" width="2.375" style="65" customWidth="1"/>
    <col min="9733" max="9736" width="8.75" style="65" customWidth="1"/>
    <col min="9737" max="9738" width="15" style="65" bestFit="1" customWidth="1"/>
    <col min="9739" max="9982" width="8.75" style="65"/>
    <col min="9983" max="9983" width="1.125" style="65" customWidth="1"/>
    <col min="9984" max="9984" width="2" style="65" customWidth="1"/>
    <col min="9985" max="9985" width="18.625" style="65" bestFit="1" customWidth="1"/>
    <col min="9986" max="9986" width="6.75" style="65" customWidth="1"/>
    <col min="9987" max="9987" width="2.625" style="65" customWidth="1"/>
    <col min="9988" max="9988" width="2.375" style="65" customWidth="1"/>
    <col min="9989" max="9992" width="8.75" style="65" customWidth="1"/>
    <col min="9993" max="9994" width="15" style="65" bestFit="1" customWidth="1"/>
    <col min="9995" max="10238" width="8.75" style="65"/>
    <col min="10239" max="10239" width="1.125" style="65" customWidth="1"/>
    <col min="10240" max="10240" width="2" style="65" customWidth="1"/>
    <col min="10241" max="10241" width="18.625" style="65" bestFit="1" customWidth="1"/>
    <col min="10242" max="10242" width="6.75" style="65" customWidth="1"/>
    <col min="10243" max="10243" width="2.625" style="65" customWidth="1"/>
    <col min="10244" max="10244" width="2.375" style="65" customWidth="1"/>
    <col min="10245" max="10248" width="8.75" style="65" customWidth="1"/>
    <col min="10249" max="10250" width="15" style="65" bestFit="1" customWidth="1"/>
    <col min="10251" max="10494" width="8.75" style="65"/>
    <col min="10495" max="10495" width="1.125" style="65" customWidth="1"/>
    <col min="10496" max="10496" width="2" style="65" customWidth="1"/>
    <col min="10497" max="10497" width="18.625" style="65" bestFit="1" customWidth="1"/>
    <col min="10498" max="10498" width="6.75" style="65" customWidth="1"/>
    <col min="10499" max="10499" width="2.625" style="65" customWidth="1"/>
    <col min="10500" max="10500" width="2.375" style="65" customWidth="1"/>
    <col min="10501" max="10504" width="8.75" style="65" customWidth="1"/>
    <col min="10505" max="10506" width="15" style="65" bestFit="1" customWidth="1"/>
    <col min="10507" max="10750" width="8.75" style="65"/>
    <col min="10751" max="10751" width="1.125" style="65" customWidth="1"/>
    <col min="10752" max="10752" width="2" style="65" customWidth="1"/>
    <col min="10753" max="10753" width="18.625" style="65" bestFit="1" customWidth="1"/>
    <col min="10754" max="10754" width="6.75" style="65" customWidth="1"/>
    <col min="10755" max="10755" width="2.625" style="65" customWidth="1"/>
    <col min="10756" max="10756" width="2.375" style="65" customWidth="1"/>
    <col min="10757" max="10760" width="8.75" style="65" customWidth="1"/>
    <col min="10761" max="10762" width="15" style="65" bestFit="1" customWidth="1"/>
    <col min="10763" max="11006" width="8.75" style="65"/>
    <col min="11007" max="11007" width="1.125" style="65" customWidth="1"/>
    <col min="11008" max="11008" width="2" style="65" customWidth="1"/>
    <col min="11009" max="11009" width="18.625" style="65" bestFit="1" customWidth="1"/>
    <col min="11010" max="11010" width="6.75" style="65" customWidth="1"/>
    <col min="11011" max="11011" width="2.625" style="65" customWidth="1"/>
    <col min="11012" max="11012" width="2.375" style="65" customWidth="1"/>
    <col min="11013" max="11016" width="8.75" style="65" customWidth="1"/>
    <col min="11017" max="11018" width="15" style="65" bestFit="1" customWidth="1"/>
    <col min="11019" max="11262" width="8.75" style="65"/>
    <col min="11263" max="11263" width="1.125" style="65" customWidth="1"/>
    <col min="11264" max="11264" width="2" style="65" customWidth="1"/>
    <col min="11265" max="11265" width="18.625" style="65" bestFit="1" customWidth="1"/>
    <col min="11266" max="11266" width="6.75" style="65" customWidth="1"/>
    <col min="11267" max="11267" width="2.625" style="65" customWidth="1"/>
    <col min="11268" max="11268" width="2.375" style="65" customWidth="1"/>
    <col min="11269" max="11272" width="8.75" style="65" customWidth="1"/>
    <col min="11273" max="11274" width="15" style="65" bestFit="1" customWidth="1"/>
    <col min="11275" max="11518" width="8.75" style="65"/>
    <col min="11519" max="11519" width="1.125" style="65" customWidth="1"/>
    <col min="11520" max="11520" width="2" style="65" customWidth="1"/>
    <col min="11521" max="11521" width="18.625" style="65" bestFit="1" customWidth="1"/>
    <col min="11522" max="11522" width="6.75" style="65" customWidth="1"/>
    <col min="11523" max="11523" width="2.625" style="65" customWidth="1"/>
    <col min="11524" max="11524" width="2.375" style="65" customWidth="1"/>
    <col min="11525" max="11528" width="8.75" style="65" customWidth="1"/>
    <col min="11529" max="11530" width="15" style="65" bestFit="1" customWidth="1"/>
    <col min="11531" max="11774" width="8.75" style="65"/>
    <col min="11775" max="11775" width="1.125" style="65" customWidth="1"/>
    <col min="11776" max="11776" width="2" style="65" customWidth="1"/>
    <col min="11777" max="11777" width="18.625" style="65" bestFit="1" customWidth="1"/>
    <col min="11778" max="11778" width="6.75" style="65" customWidth="1"/>
    <col min="11779" max="11779" width="2.625" style="65" customWidth="1"/>
    <col min="11780" max="11780" width="2.375" style="65" customWidth="1"/>
    <col min="11781" max="11784" width="8.75" style="65" customWidth="1"/>
    <col min="11785" max="11786" width="15" style="65" bestFit="1" customWidth="1"/>
    <col min="11787" max="12030" width="8.75" style="65"/>
    <col min="12031" max="12031" width="1.125" style="65" customWidth="1"/>
    <col min="12032" max="12032" width="2" style="65" customWidth="1"/>
    <col min="12033" max="12033" width="18.625" style="65" bestFit="1" customWidth="1"/>
    <col min="12034" max="12034" width="6.75" style="65" customWidth="1"/>
    <col min="12035" max="12035" width="2.625" style="65" customWidth="1"/>
    <col min="12036" max="12036" width="2.375" style="65" customWidth="1"/>
    <col min="12037" max="12040" width="8.75" style="65" customWidth="1"/>
    <col min="12041" max="12042" width="15" style="65" bestFit="1" customWidth="1"/>
    <col min="12043" max="12286" width="8.75" style="65"/>
    <col min="12287" max="12287" width="1.125" style="65" customWidth="1"/>
    <col min="12288" max="12288" width="2" style="65" customWidth="1"/>
    <col min="12289" max="12289" width="18.625" style="65" bestFit="1" customWidth="1"/>
    <col min="12290" max="12290" width="6.75" style="65" customWidth="1"/>
    <col min="12291" max="12291" width="2.625" style="65" customWidth="1"/>
    <col min="12292" max="12292" width="2.375" style="65" customWidth="1"/>
    <col min="12293" max="12296" width="8.75" style="65" customWidth="1"/>
    <col min="12297" max="12298" width="15" style="65" bestFit="1" customWidth="1"/>
    <col min="12299" max="12542" width="8.75" style="65"/>
    <col min="12543" max="12543" width="1.125" style="65" customWidth="1"/>
    <col min="12544" max="12544" width="2" style="65" customWidth="1"/>
    <col min="12545" max="12545" width="18.625" style="65" bestFit="1" customWidth="1"/>
    <col min="12546" max="12546" width="6.75" style="65" customWidth="1"/>
    <col min="12547" max="12547" width="2.625" style="65" customWidth="1"/>
    <col min="12548" max="12548" width="2.375" style="65" customWidth="1"/>
    <col min="12549" max="12552" width="8.75" style="65" customWidth="1"/>
    <col min="12553" max="12554" width="15" style="65" bestFit="1" customWidth="1"/>
    <col min="12555" max="12798" width="8.75" style="65"/>
    <col min="12799" max="12799" width="1.125" style="65" customWidth="1"/>
    <col min="12800" max="12800" width="2" style="65" customWidth="1"/>
    <col min="12801" max="12801" width="18.625" style="65" bestFit="1" customWidth="1"/>
    <col min="12802" max="12802" width="6.75" style="65" customWidth="1"/>
    <col min="12803" max="12803" width="2.625" style="65" customWidth="1"/>
    <col min="12804" max="12804" width="2.375" style="65" customWidth="1"/>
    <col min="12805" max="12808" width="8.75" style="65" customWidth="1"/>
    <col min="12809" max="12810" width="15" style="65" bestFit="1" customWidth="1"/>
    <col min="12811" max="13054" width="8.75" style="65"/>
    <col min="13055" max="13055" width="1.125" style="65" customWidth="1"/>
    <col min="13056" max="13056" width="2" style="65" customWidth="1"/>
    <col min="13057" max="13057" width="18.625" style="65" bestFit="1" customWidth="1"/>
    <col min="13058" max="13058" width="6.75" style="65" customWidth="1"/>
    <col min="13059" max="13059" width="2.625" style="65" customWidth="1"/>
    <col min="13060" max="13060" width="2.375" style="65" customWidth="1"/>
    <col min="13061" max="13064" width="8.75" style="65" customWidth="1"/>
    <col min="13065" max="13066" width="15" style="65" bestFit="1" customWidth="1"/>
    <col min="13067" max="13310" width="8.75" style="65"/>
    <col min="13311" max="13311" width="1.125" style="65" customWidth="1"/>
    <col min="13312" max="13312" width="2" style="65" customWidth="1"/>
    <col min="13313" max="13313" width="18.625" style="65" bestFit="1" customWidth="1"/>
    <col min="13314" max="13314" width="6.75" style="65" customWidth="1"/>
    <col min="13315" max="13315" width="2.625" style="65" customWidth="1"/>
    <col min="13316" max="13316" width="2.375" style="65" customWidth="1"/>
    <col min="13317" max="13320" width="8.75" style="65" customWidth="1"/>
    <col min="13321" max="13322" width="15" style="65" bestFit="1" customWidth="1"/>
    <col min="13323" max="13566" width="8.75" style="65"/>
    <col min="13567" max="13567" width="1.125" style="65" customWidth="1"/>
    <col min="13568" max="13568" width="2" style="65" customWidth="1"/>
    <col min="13569" max="13569" width="18.625" style="65" bestFit="1" customWidth="1"/>
    <col min="13570" max="13570" width="6.75" style="65" customWidth="1"/>
    <col min="13571" max="13571" width="2.625" style="65" customWidth="1"/>
    <col min="13572" max="13572" width="2.375" style="65" customWidth="1"/>
    <col min="13573" max="13576" width="8.75" style="65" customWidth="1"/>
    <col min="13577" max="13578" width="15" style="65" bestFit="1" customWidth="1"/>
    <col min="13579" max="13822" width="8.75" style="65"/>
    <col min="13823" max="13823" width="1.125" style="65" customWidth="1"/>
    <col min="13824" max="13824" width="2" style="65" customWidth="1"/>
    <col min="13825" max="13825" width="18.625" style="65" bestFit="1" customWidth="1"/>
    <col min="13826" max="13826" width="6.75" style="65" customWidth="1"/>
    <col min="13827" max="13827" width="2.625" style="65" customWidth="1"/>
    <col min="13828" max="13828" width="2.375" style="65" customWidth="1"/>
    <col min="13829" max="13832" width="8.75" style="65" customWidth="1"/>
    <col min="13833" max="13834" width="15" style="65" bestFit="1" customWidth="1"/>
    <col min="13835" max="14078" width="8.75" style="65"/>
    <col min="14079" max="14079" width="1.125" style="65" customWidth="1"/>
    <col min="14080" max="14080" width="2" style="65" customWidth="1"/>
    <col min="14081" max="14081" width="18.625" style="65" bestFit="1" customWidth="1"/>
    <col min="14082" max="14082" width="6.75" style="65" customWidth="1"/>
    <col min="14083" max="14083" width="2.625" style="65" customWidth="1"/>
    <col min="14084" max="14084" width="2.375" style="65" customWidth="1"/>
    <col min="14085" max="14088" width="8.75" style="65" customWidth="1"/>
    <col min="14089" max="14090" width="15" style="65" bestFit="1" customWidth="1"/>
    <col min="14091" max="14334" width="8.75" style="65"/>
    <col min="14335" max="14335" width="1.125" style="65" customWidth="1"/>
    <col min="14336" max="14336" width="2" style="65" customWidth="1"/>
    <col min="14337" max="14337" width="18.625" style="65" bestFit="1" customWidth="1"/>
    <col min="14338" max="14338" width="6.75" style="65" customWidth="1"/>
    <col min="14339" max="14339" width="2.625" style="65" customWidth="1"/>
    <col min="14340" max="14340" width="2.375" style="65" customWidth="1"/>
    <col min="14341" max="14344" width="8.75" style="65" customWidth="1"/>
    <col min="14345" max="14346" width="15" style="65" bestFit="1" customWidth="1"/>
    <col min="14347" max="14590" width="8.75" style="65"/>
    <col min="14591" max="14591" width="1.125" style="65" customWidth="1"/>
    <col min="14592" max="14592" width="2" style="65" customWidth="1"/>
    <col min="14593" max="14593" width="18.625" style="65" bestFit="1" customWidth="1"/>
    <col min="14594" max="14594" width="6.75" style="65" customWidth="1"/>
    <col min="14595" max="14595" width="2.625" style="65" customWidth="1"/>
    <col min="14596" max="14596" width="2.375" style="65" customWidth="1"/>
    <col min="14597" max="14600" width="8.75" style="65" customWidth="1"/>
    <col min="14601" max="14602" width="15" style="65" bestFit="1" customWidth="1"/>
    <col min="14603" max="14846" width="8.75" style="65"/>
    <col min="14847" max="14847" width="1.125" style="65" customWidth="1"/>
    <col min="14848" max="14848" width="2" style="65" customWidth="1"/>
    <col min="14849" max="14849" width="18.625" style="65" bestFit="1" customWidth="1"/>
    <col min="14850" max="14850" width="6.75" style="65" customWidth="1"/>
    <col min="14851" max="14851" width="2.625" style="65" customWidth="1"/>
    <col min="14852" max="14852" width="2.375" style="65" customWidth="1"/>
    <col min="14853" max="14856" width="8.75" style="65" customWidth="1"/>
    <col min="14857" max="14858" width="15" style="65" bestFit="1" customWidth="1"/>
    <col min="14859" max="15102" width="8.75" style="65"/>
    <col min="15103" max="15103" width="1.125" style="65" customWidth="1"/>
    <col min="15104" max="15104" width="2" style="65" customWidth="1"/>
    <col min="15105" max="15105" width="18.625" style="65" bestFit="1" customWidth="1"/>
    <col min="15106" max="15106" width="6.75" style="65" customWidth="1"/>
    <col min="15107" max="15107" width="2.625" style="65" customWidth="1"/>
    <col min="15108" max="15108" width="2.375" style="65" customWidth="1"/>
    <col min="15109" max="15112" width="8.75" style="65" customWidth="1"/>
    <col min="15113" max="15114" width="15" style="65" bestFit="1" customWidth="1"/>
    <col min="15115" max="15358" width="8.75" style="65"/>
    <col min="15359" max="15359" width="1.125" style="65" customWidth="1"/>
    <col min="15360" max="15360" width="2" style="65" customWidth="1"/>
    <col min="15361" max="15361" width="18.625" style="65" bestFit="1" customWidth="1"/>
    <col min="15362" max="15362" width="6.75" style="65" customWidth="1"/>
    <col min="15363" max="15363" width="2.625" style="65" customWidth="1"/>
    <col min="15364" max="15364" width="2.375" style="65" customWidth="1"/>
    <col min="15365" max="15368" width="8.75" style="65" customWidth="1"/>
    <col min="15369" max="15370" width="15" style="65" bestFit="1" customWidth="1"/>
    <col min="15371" max="15614" width="8.75" style="65"/>
    <col min="15615" max="15615" width="1.125" style="65" customWidth="1"/>
    <col min="15616" max="15616" width="2" style="65" customWidth="1"/>
    <col min="15617" max="15617" width="18.625" style="65" bestFit="1" customWidth="1"/>
    <col min="15618" max="15618" width="6.75" style="65" customWidth="1"/>
    <col min="15619" max="15619" width="2.625" style="65" customWidth="1"/>
    <col min="15620" max="15620" width="2.375" style="65" customWidth="1"/>
    <col min="15621" max="15624" width="8.75" style="65" customWidth="1"/>
    <col min="15625" max="15626" width="15" style="65" bestFit="1" customWidth="1"/>
    <col min="15627" max="15870" width="8.75" style="65"/>
    <col min="15871" max="15871" width="1.125" style="65" customWidth="1"/>
    <col min="15872" max="15872" width="2" style="65" customWidth="1"/>
    <col min="15873" max="15873" width="18.625" style="65" bestFit="1" customWidth="1"/>
    <col min="15874" max="15874" width="6.75" style="65" customWidth="1"/>
    <col min="15875" max="15875" width="2.625" style="65" customWidth="1"/>
    <col min="15876" max="15876" width="2.375" style="65" customWidth="1"/>
    <col min="15877" max="15880" width="8.75" style="65" customWidth="1"/>
    <col min="15881" max="15882" width="15" style="65" bestFit="1" customWidth="1"/>
    <col min="15883" max="16126" width="8.75" style="65"/>
    <col min="16127" max="16127" width="1.125" style="65" customWidth="1"/>
    <col min="16128" max="16128" width="2" style="65" customWidth="1"/>
    <col min="16129" max="16129" width="18.625" style="65" bestFit="1" customWidth="1"/>
    <col min="16130" max="16130" width="6.75" style="65" customWidth="1"/>
    <col min="16131" max="16131" width="2.625" style="65" customWidth="1"/>
    <col min="16132" max="16132" width="2.375" style="65" customWidth="1"/>
    <col min="16133" max="16136" width="8.75" style="65" customWidth="1"/>
    <col min="16137" max="16138" width="15" style="65" bestFit="1" customWidth="1"/>
    <col min="16139" max="16384" width="8.75" style="65"/>
  </cols>
  <sheetData>
    <row r="1" spans="2:16" ht="13.15" customHeight="1">
      <c r="D1" s="67"/>
    </row>
    <row r="2" spans="2:16" ht="14.25">
      <c r="B2" s="68"/>
      <c r="C2" s="69"/>
      <c r="D2" s="68"/>
      <c r="E2" s="68"/>
      <c r="G2" s="68"/>
      <c r="H2" s="68"/>
      <c r="I2" s="68"/>
      <c r="J2" s="68"/>
    </row>
    <row r="3" spans="2:16" ht="14.25">
      <c r="B3" s="68"/>
      <c r="C3" s="70" t="s">
        <v>75</v>
      </c>
      <c r="D3" s="71">
        <v>1000</v>
      </c>
      <c r="E3" s="68"/>
      <c r="G3" s="68"/>
      <c r="H3" s="104" t="s">
        <v>76</v>
      </c>
      <c r="I3" s="105"/>
      <c r="J3" s="68"/>
      <c r="M3" s="72">
        <f>D13</f>
        <v>32958.333333333336</v>
      </c>
      <c r="O3" s="73" t="s">
        <v>77</v>
      </c>
    </row>
    <row r="4" spans="2:16" ht="14.25">
      <c r="B4" s="68"/>
      <c r="C4" s="70" t="s">
        <v>78</v>
      </c>
      <c r="D4" s="71">
        <v>750</v>
      </c>
      <c r="E4" s="68"/>
      <c r="G4" s="68"/>
      <c r="H4" s="70" t="s">
        <v>79</v>
      </c>
      <c r="I4" s="70" t="s">
        <v>80</v>
      </c>
      <c r="J4" s="68"/>
      <c r="L4" s="65">
        <v>1</v>
      </c>
      <c r="M4" s="65">
        <f t="dataTable" ref="M4:M26" dt2D="0" dtr="0" r1="D7"/>
        <v>75375</v>
      </c>
      <c r="O4" s="65">
        <f>D7</f>
        <v>15</v>
      </c>
      <c r="P4" s="72">
        <f>D13</f>
        <v>32958.333333333336</v>
      </c>
    </row>
    <row r="5" spans="2:16" ht="14.25">
      <c r="B5" s="68"/>
      <c r="C5" s="70" t="s">
        <v>81</v>
      </c>
      <c r="D5" s="71">
        <v>50</v>
      </c>
      <c r="E5" s="68"/>
      <c r="G5" s="68"/>
      <c r="H5" s="74">
        <v>0</v>
      </c>
      <c r="I5" s="75">
        <v>0</v>
      </c>
      <c r="J5" s="68"/>
      <c r="L5" s="65">
        <v>2</v>
      </c>
      <c r="M5" s="65">
        <v>50750</v>
      </c>
    </row>
    <row r="6" spans="2:16" ht="14.25">
      <c r="B6" s="68"/>
      <c r="C6" s="70" t="s">
        <v>82</v>
      </c>
      <c r="D6" s="71">
        <v>25</v>
      </c>
      <c r="E6" s="76"/>
      <c r="G6" s="68"/>
      <c r="H6" s="74">
        <v>15</v>
      </c>
      <c r="I6" s="75">
        <v>0.04</v>
      </c>
      <c r="J6" s="68"/>
      <c r="L6" s="65">
        <v>3</v>
      </c>
      <c r="M6" s="65">
        <v>42791.666666666672</v>
      </c>
      <c r="P6" s="72"/>
    </row>
    <row r="7" spans="2:16" ht="14.25">
      <c r="B7" s="68"/>
      <c r="C7" s="70" t="s">
        <v>83</v>
      </c>
      <c r="D7" s="71">
        <v>15</v>
      </c>
      <c r="E7" s="76"/>
      <c r="G7" s="68"/>
      <c r="H7" s="74">
        <v>20</v>
      </c>
      <c r="I7" s="75">
        <v>7.0000000000000007E-2</v>
      </c>
      <c r="J7" s="68"/>
      <c r="L7" s="65">
        <v>4</v>
      </c>
      <c r="M7" s="65">
        <v>39000</v>
      </c>
      <c r="P7" s="72">
        <f>D13</f>
        <v>32958.333333333336</v>
      </c>
    </row>
    <row r="8" spans="2:16" ht="14.25">
      <c r="B8" s="68"/>
      <c r="C8" s="70" t="s">
        <v>84</v>
      </c>
      <c r="D8" s="77">
        <f>D6*(1-INDEX(I5:I9,MATCH(D7,H5:H9,1)))</f>
        <v>24</v>
      </c>
      <c r="E8" s="76"/>
      <c r="G8" s="68"/>
      <c r="H8" s="74">
        <v>25</v>
      </c>
      <c r="I8" s="75">
        <v>0.13</v>
      </c>
      <c r="J8" s="68"/>
      <c r="L8" s="65">
        <v>5</v>
      </c>
      <c r="M8" s="65">
        <v>36875</v>
      </c>
      <c r="O8" s="72">
        <f>D15</f>
        <v>11.547005383792516</v>
      </c>
      <c r="P8" s="65">
        <f t="dataTable" ref="P8:P12" dt2D="0" dtr="0" r1="D7" ca="1"/>
        <v>33660.254037844388</v>
      </c>
    </row>
    <row r="9" spans="2:16" ht="14.25">
      <c r="B9" s="68"/>
      <c r="C9" s="68"/>
      <c r="D9" s="68"/>
      <c r="E9" s="68"/>
      <c r="G9" s="68"/>
      <c r="H9" s="74">
        <v>30</v>
      </c>
      <c r="I9" s="75">
        <v>0.18</v>
      </c>
      <c r="J9" s="68"/>
      <c r="L9" s="65">
        <v>6</v>
      </c>
      <c r="M9" s="65">
        <v>35583.333333333336</v>
      </c>
      <c r="O9" s="65">
        <v>15</v>
      </c>
      <c r="P9" s="65">
        <v>32958.333333333336</v>
      </c>
    </row>
    <row r="10" spans="2:16" ht="14.25">
      <c r="B10" s="68"/>
      <c r="C10" s="70" t="s">
        <v>85</v>
      </c>
      <c r="D10" s="77">
        <f>D5*D3/D7</f>
        <v>3333.3333333333335</v>
      </c>
      <c r="E10" s="68"/>
      <c r="G10" s="68"/>
      <c r="H10" s="68"/>
      <c r="I10" s="68"/>
      <c r="J10" s="68"/>
      <c r="L10" s="65">
        <v>7</v>
      </c>
      <c r="M10" s="65">
        <v>34767.857142857145</v>
      </c>
      <c r="O10" s="65">
        <v>20</v>
      </c>
      <c r="P10" s="65">
        <v>33250</v>
      </c>
    </row>
    <row r="11" spans="2:16" ht="14.25">
      <c r="B11" s="68"/>
      <c r="C11" s="70" t="s">
        <v>86</v>
      </c>
      <c r="D11" s="77">
        <f>D4*D7/2</f>
        <v>5625</v>
      </c>
      <c r="E11" s="68"/>
      <c r="L11" s="65">
        <v>8</v>
      </c>
      <c r="M11" s="65">
        <v>34250</v>
      </c>
      <c r="O11" s="65">
        <v>25</v>
      </c>
      <c r="P11" s="65">
        <v>33125</v>
      </c>
    </row>
    <row r="12" spans="2:16" ht="14.25">
      <c r="B12" s="68"/>
      <c r="C12" s="70" t="s">
        <v>87</v>
      </c>
      <c r="D12" s="78">
        <f>D8*D3</f>
        <v>24000</v>
      </c>
      <c r="E12" s="68"/>
      <c r="L12" s="65">
        <v>9</v>
      </c>
      <c r="M12" s="65">
        <v>33930.555555555555</v>
      </c>
      <c r="O12" s="65">
        <v>30</v>
      </c>
      <c r="P12" s="65">
        <v>33416.666666666664</v>
      </c>
    </row>
    <row r="13" spans="2:16" ht="15" thickBot="1">
      <c r="B13" s="68"/>
      <c r="C13" s="70" t="s">
        <v>88</v>
      </c>
      <c r="D13" s="79">
        <f>SUM(D10:D12)</f>
        <v>32958.333333333336</v>
      </c>
      <c r="E13" s="68"/>
      <c r="L13" s="65">
        <v>10</v>
      </c>
      <c r="M13" s="65">
        <v>33750</v>
      </c>
    </row>
    <row r="14" spans="2:16" ht="15" thickTop="1">
      <c r="B14" s="68"/>
      <c r="C14" s="68"/>
      <c r="D14" s="68"/>
      <c r="E14" s="68"/>
      <c r="L14" s="65">
        <v>11</v>
      </c>
      <c r="M14" s="65">
        <v>33670.454545454544</v>
      </c>
    </row>
    <row r="15" spans="2:16" ht="14.25">
      <c r="B15" s="68"/>
      <c r="C15" s="70" t="s">
        <v>89</v>
      </c>
      <c r="D15" s="80">
        <f>SQRT(2*D5*D3/D4)</f>
        <v>11.547005383792516</v>
      </c>
      <c r="E15" s="68"/>
      <c r="L15" s="65">
        <v>12</v>
      </c>
      <c r="M15" s="65">
        <v>33666.666666666672</v>
      </c>
    </row>
    <row r="16" spans="2:16" ht="14.25">
      <c r="B16" s="68"/>
      <c r="C16" s="70" t="s">
        <v>90</v>
      </c>
      <c r="D16" s="80">
        <f>D5*D3/D15</f>
        <v>4330.1270189221932</v>
      </c>
      <c r="E16" s="68"/>
      <c r="L16" s="65">
        <v>13</v>
      </c>
      <c r="M16" s="65">
        <v>33721.153846153844</v>
      </c>
    </row>
    <row r="17" spans="2:13" ht="14.25">
      <c r="B17" s="68"/>
      <c r="C17" s="70" t="s">
        <v>91</v>
      </c>
      <c r="D17" s="80">
        <f>D16</f>
        <v>4330.1270189221932</v>
      </c>
      <c r="E17" s="68"/>
      <c r="L17" s="65">
        <v>14</v>
      </c>
      <c r="M17" s="65">
        <v>33821.428571428572</v>
      </c>
    </row>
    <row r="18" spans="2:13" ht="14.25">
      <c r="B18" s="68"/>
      <c r="C18" s="70" t="s">
        <v>92</v>
      </c>
      <c r="D18" s="77">
        <f>D6*D3</f>
        <v>25000</v>
      </c>
      <c r="E18" s="68"/>
      <c r="L18" s="65">
        <f>L19-0.0001</f>
        <v>14.9999</v>
      </c>
      <c r="M18" s="65">
        <v>33958.318055703705</v>
      </c>
    </row>
    <row r="19" spans="2:13" ht="14.25">
      <c r="B19" s="68"/>
      <c r="C19" s="70" t="s">
        <v>93</v>
      </c>
      <c r="D19" s="77">
        <f>SUM(D16:D18)</f>
        <v>33660.254037844388</v>
      </c>
      <c r="E19" s="68"/>
      <c r="L19" s="65">
        <f>H6</f>
        <v>15</v>
      </c>
      <c r="M19" s="65">
        <v>32958.333333333336</v>
      </c>
    </row>
    <row r="20" spans="2:13" ht="14.25">
      <c r="B20" s="68"/>
      <c r="C20" s="68"/>
      <c r="D20" s="68"/>
      <c r="E20" s="68"/>
      <c r="L20" s="65">
        <f t="shared" ref="L20:L24" si="0">L21-0.0001</f>
        <v>19.9999</v>
      </c>
      <c r="M20" s="65">
        <v>33999.975000062499</v>
      </c>
    </row>
    <row r="21" spans="2:13" ht="14.25">
      <c r="L21" s="65">
        <f>H7</f>
        <v>20</v>
      </c>
      <c r="M21" s="65">
        <v>33250</v>
      </c>
    </row>
    <row r="22" spans="2:13" ht="14.25">
      <c r="C22" s="65" t="str">
        <f>C7&amp;"="&amp;D7&amp;"时，年总成本="&amp;""&amp;ROUND(D13,0)</f>
        <v>订货量=15时，年总成本=32958</v>
      </c>
      <c r="L22" s="65">
        <f t="shared" si="0"/>
        <v>24.9999</v>
      </c>
      <c r="M22" s="65">
        <v>34624.970500031995</v>
      </c>
    </row>
    <row r="23" spans="2:13" ht="13.15" customHeight="1">
      <c r="C23" s="65" t="str">
        <f>"最优订货量为"&amp;INDEX(O8:O12,MATCH(MIN(P8:P12),P8:P12,0))</f>
        <v>最优订货量为15</v>
      </c>
      <c r="L23" s="65">
        <f>H8</f>
        <v>25</v>
      </c>
      <c r="M23" s="65">
        <v>33125</v>
      </c>
    </row>
    <row r="24" spans="2:13" ht="13.15" customHeight="1">
      <c r="C24" s="65"/>
      <c r="L24" s="65">
        <f t="shared" si="0"/>
        <v>29.9999</v>
      </c>
      <c r="M24" s="65">
        <v>34666.634722240742</v>
      </c>
    </row>
    <row r="25" spans="2:13" ht="13.15" customHeight="1">
      <c r="C25" s="65"/>
      <c r="L25" s="65">
        <f>H9</f>
        <v>30</v>
      </c>
      <c r="M25" s="65">
        <v>33416.666666666664</v>
      </c>
    </row>
    <row r="26" spans="2:13" ht="13.15" customHeight="1">
      <c r="C26" s="65"/>
      <c r="L26" s="65">
        <v>40</v>
      </c>
      <c r="M26" s="65">
        <v>36750</v>
      </c>
    </row>
  </sheetData>
  <mergeCells count="1">
    <mergeCell ref="H3:I3"/>
  </mergeCells>
  <phoneticPr fontId="4" type="noConversion"/>
  <printOptions headings="1"/>
  <pageMargins left="0.75" right="0.75" top="1" bottom="1" header="0.5" footer="0.5"/>
  <pageSetup paperSize="9"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7169" r:id="rId4" name="Spinner 1">
              <controlPr defaultSize="0" autoPict="0">
                <anchor moveWithCells="1" sizeWithCells="1">
                  <from>
                    <xdr:col>5</xdr:col>
                    <xdr:colOff>0</xdr:colOff>
                    <xdr:row>18</xdr:row>
                    <xdr:rowOff>9525</xdr:rowOff>
                  </from>
                  <to>
                    <xdr:col>5</xdr:col>
                    <xdr:colOff>0</xdr:colOff>
                    <xdr:row>19</xdr:row>
                    <xdr:rowOff>9525</xdr:rowOff>
                  </to>
                </anchor>
              </controlPr>
            </control>
          </mc:Choice>
        </mc:AlternateContent>
        <mc:AlternateContent xmlns:mc="http://schemas.openxmlformats.org/markup-compatibility/2006">
          <mc:Choice Requires="x14">
            <control shapeId="7170" r:id="rId5" name="Spinner 2">
              <controlPr defaultSize="0" autoPict="0">
                <anchor moveWithCells="1" sizeWithCells="1">
                  <from>
                    <xdr:col>14</xdr:col>
                    <xdr:colOff>190500</xdr:colOff>
                    <xdr:row>15</xdr:row>
                    <xdr:rowOff>66675</xdr:rowOff>
                  </from>
                  <to>
                    <xdr:col>14</xdr:col>
                    <xdr:colOff>361950</xdr:colOff>
                    <xdr:row>16</xdr:row>
                    <xdr:rowOff>142875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workbookViewId="0">
      <selection activeCell="A14" sqref="A14"/>
    </sheetView>
  </sheetViews>
  <sheetFormatPr defaultRowHeight="12.75"/>
  <cols>
    <col min="1" max="1" width="15.75" style="18" customWidth="1"/>
    <col min="2" max="2" width="10.5" style="18" bestFit="1" customWidth="1"/>
    <col min="3" max="3" width="9" style="18"/>
    <col min="4" max="4" width="10.375" style="18" customWidth="1"/>
    <col min="5" max="16384" width="9" style="18"/>
  </cols>
  <sheetData>
    <row r="1" spans="1:13">
      <c r="A1" s="16" t="s">
        <v>27</v>
      </c>
      <c r="B1" s="17">
        <v>0.06</v>
      </c>
      <c r="E1" s="19" t="s">
        <v>28</v>
      </c>
      <c r="F1" s="19" t="s">
        <v>29</v>
      </c>
      <c r="G1" s="19" t="s">
        <v>30</v>
      </c>
      <c r="H1" s="19" t="s">
        <v>31</v>
      </c>
      <c r="I1" s="19" t="s">
        <v>32</v>
      </c>
      <c r="J1" s="19" t="s">
        <v>33</v>
      </c>
      <c r="K1" s="19" t="s">
        <v>34</v>
      </c>
      <c r="L1" s="19" t="s">
        <v>35</v>
      </c>
      <c r="M1" s="19" t="s">
        <v>36</v>
      </c>
    </row>
    <row r="2" spans="1:13">
      <c r="A2" s="16" t="s">
        <v>37</v>
      </c>
      <c r="B2" s="20">
        <v>360</v>
      </c>
      <c r="E2" s="21">
        <f>-B2</f>
        <v>-360</v>
      </c>
      <c r="F2" s="21">
        <f>$B$4</f>
        <v>14</v>
      </c>
      <c r="G2" s="21">
        <f>$B$4</f>
        <v>14</v>
      </c>
      <c r="H2" s="21">
        <f>$B$4</f>
        <v>14</v>
      </c>
      <c r="I2" s="21">
        <f>$B$4</f>
        <v>14</v>
      </c>
      <c r="J2" s="21">
        <f t="shared" ref="J2:L2" si="0">$B$4</f>
        <v>14</v>
      </c>
      <c r="K2" s="21">
        <f t="shared" si="0"/>
        <v>14</v>
      </c>
      <c r="L2" s="21">
        <f t="shared" si="0"/>
        <v>14</v>
      </c>
      <c r="M2" s="21">
        <f>B4+B5</f>
        <v>434</v>
      </c>
    </row>
    <row r="3" spans="1:13">
      <c r="A3" s="16" t="s">
        <v>38</v>
      </c>
      <c r="B3" s="20">
        <v>8</v>
      </c>
    </row>
    <row r="4" spans="1:13">
      <c r="A4" s="16" t="s">
        <v>39</v>
      </c>
      <c r="B4" s="20">
        <v>14</v>
      </c>
    </row>
    <row r="5" spans="1:13">
      <c r="A5" s="16" t="s">
        <v>40</v>
      </c>
      <c r="B5" s="20">
        <v>420</v>
      </c>
    </row>
    <row r="6" spans="1:13">
      <c r="A6" s="22"/>
      <c r="B6" s="23"/>
      <c r="D6" s="24" t="s">
        <v>41</v>
      </c>
      <c r="E6" s="25">
        <v>5.5973201412322204E-2</v>
      </c>
    </row>
    <row r="7" spans="1:13" ht="15">
      <c r="A7" s="16" t="s">
        <v>42</v>
      </c>
      <c r="B7" s="26">
        <f>RATE(B3,B4,-B2,B5)</f>
        <v>5.5973201415994517E-2</v>
      </c>
      <c r="E7" s="27"/>
    </row>
    <row r="8" spans="1:13" ht="15">
      <c r="A8" s="16" t="s">
        <v>43</v>
      </c>
      <c r="B8" s="26">
        <f>IRR(E2:M2)</f>
        <v>5.5973201415418172E-2</v>
      </c>
      <c r="D8" s="28" t="s">
        <v>44</v>
      </c>
      <c r="E8" s="29"/>
      <c r="F8" s="30">
        <f>E11</f>
        <v>-360</v>
      </c>
      <c r="G8" s="30">
        <f t="shared" ref="G8:M8" si="1">F11</f>
        <v>-366.15035250843601</v>
      </c>
      <c r="H8" s="30">
        <f t="shared" si="1"/>
        <v>-372.64495993658346</v>
      </c>
      <c r="I8" s="30">
        <f t="shared" si="1"/>
        <v>-379.50309133440061</v>
      </c>
      <c r="J8" s="30">
        <f t="shared" si="1"/>
        <v>-386.74509430225993</v>
      </c>
      <c r="K8" s="30">
        <f t="shared" si="1"/>
        <v>-394.39245536086787</v>
      </c>
      <c r="L8" s="30">
        <f t="shared" si="1"/>
        <v>-402.46786370028201</v>
      </c>
      <c r="M8" s="30">
        <f t="shared" si="1"/>
        <v>-410.99527849716492</v>
      </c>
    </row>
    <row r="9" spans="1:13" ht="15">
      <c r="A9" s="22"/>
      <c r="B9" s="31"/>
      <c r="D9" s="28" t="s">
        <v>45</v>
      </c>
      <c r="E9" s="29"/>
      <c r="F9" s="30">
        <f>F2</f>
        <v>14</v>
      </c>
      <c r="G9" s="30">
        <f>G2</f>
        <v>14</v>
      </c>
      <c r="H9" s="30">
        <f>H2</f>
        <v>14</v>
      </c>
      <c r="I9" s="30">
        <f>I2</f>
        <v>14</v>
      </c>
      <c r="J9" s="30">
        <f t="shared" ref="J9:M9" si="2">J2</f>
        <v>14</v>
      </c>
      <c r="K9" s="30">
        <f t="shared" si="2"/>
        <v>14</v>
      </c>
      <c r="L9" s="30">
        <f t="shared" si="2"/>
        <v>14</v>
      </c>
      <c r="M9" s="30">
        <f t="shared" si="2"/>
        <v>434</v>
      </c>
    </row>
    <row r="10" spans="1:13" ht="15">
      <c r="A10" s="32" t="s">
        <v>46</v>
      </c>
      <c r="B10" s="33">
        <f>PMT(B1,B3,-B2,B5)</f>
        <v>15.537843441112253</v>
      </c>
      <c r="D10" s="28" t="s">
        <v>47</v>
      </c>
      <c r="E10" s="29"/>
      <c r="F10" s="30">
        <f>E11*$E$6</f>
        <v>-20.150352508435994</v>
      </c>
      <c r="G10" s="30">
        <f>F11*$E$6</f>
        <v>-20.494607428147464</v>
      </c>
      <c r="H10" s="30">
        <f>G11*$E$6</f>
        <v>-20.858131397817125</v>
      </c>
      <c r="I10" s="30">
        <f>H11*$E$6</f>
        <v>-21.242002967859314</v>
      </c>
      <c r="J10" s="30">
        <f>I11*$E$6</f>
        <v>-21.647361058607938</v>
      </c>
      <c r="K10" s="30">
        <f t="shared" ref="K10:M10" si="3">J11*$E$6</f>
        <v>-22.075408339414153</v>
      </c>
      <c r="L10" s="30">
        <f t="shared" si="3"/>
        <v>-22.527414796882926</v>
      </c>
      <c r="M10" s="30">
        <f t="shared" si="3"/>
        <v>-23.00472150283527</v>
      </c>
    </row>
    <row r="11" spans="1:13">
      <c r="A11" s="32"/>
      <c r="B11" s="33"/>
      <c r="D11" s="28" t="s">
        <v>48</v>
      </c>
      <c r="E11" s="30">
        <f>E2</f>
        <v>-360</v>
      </c>
      <c r="F11" s="30">
        <f>SUM(F8:F10)</f>
        <v>-366.15035250843601</v>
      </c>
      <c r="G11" s="30">
        <f t="shared" ref="G11:M11" si="4">SUM(G8:G10)</f>
        <v>-372.64495993658346</v>
      </c>
      <c r="H11" s="30">
        <f t="shared" si="4"/>
        <v>-379.50309133440061</v>
      </c>
      <c r="I11" s="30">
        <f t="shared" si="4"/>
        <v>-386.74509430225993</v>
      </c>
      <c r="J11" s="34">
        <f t="shared" si="4"/>
        <v>-394.39245536086787</v>
      </c>
      <c r="K11" s="34">
        <f t="shared" si="4"/>
        <v>-402.46786370028201</v>
      </c>
      <c r="L11" s="34">
        <f t="shared" si="4"/>
        <v>-410.99527849716492</v>
      </c>
      <c r="M11" s="34">
        <f t="shared" si="4"/>
        <v>-1.8829382497642655E-13</v>
      </c>
    </row>
    <row r="12" spans="1:13" ht="15">
      <c r="A12" s="32" t="s">
        <v>49</v>
      </c>
      <c r="B12" s="33">
        <f>FV(B1,B3,B4,-B2)</f>
        <v>435.22075610723994</v>
      </c>
      <c r="E12" s="27"/>
    </row>
    <row r="13" spans="1:13" ht="15">
      <c r="E13" s="27"/>
    </row>
  </sheetData>
  <phoneticPr fontId="4" type="noConversion"/>
  <pageMargins left="0.75" right="0.75" top="1" bottom="1" header="0.5" footer="0.5"/>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39"/>
  <sheetViews>
    <sheetView topLeftCell="D1" workbookViewId="0">
      <selection activeCell="G1" sqref="G1"/>
    </sheetView>
  </sheetViews>
  <sheetFormatPr defaultRowHeight="14.25"/>
  <cols>
    <col min="1" max="1" width="6.125" customWidth="1"/>
    <col min="2" max="2" width="27.25" customWidth="1"/>
    <col min="3" max="3" width="19.25" customWidth="1"/>
    <col min="4" max="4" width="11.625" bestFit="1" customWidth="1"/>
    <col min="5" max="5" width="4.75" customWidth="1"/>
    <col min="7" max="8" width="10.25" bestFit="1" customWidth="1"/>
    <col min="9" max="9" width="11.25" bestFit="1" customWidth="1"/>
  </cols>
  <sheetData>
    <row r="2" spans="2:5">
      <c r="B2" s="81" t="s">
        <v>94</v>
      </c>
      <c r="C2" s="82">
        <v>0.09</v>
      </c>
    </row>
    <row r="3" spans="2:5">
      <c r="B3" s="81" t="s">
        <v>95</v>
      </c>
      <c r="C3" s="81">
        <v>500000</v>
      </c>
    </row>
    <row r="4" spans="2:5">
      <c r="B4" s="83" t="s">
        <v>96</v>
      </c>
      <c r="C4" s="83">
        <v>10</v>
      </c>
      <c r="E4" t="s">
        <v>97</v>
      </c>
    </row>
    <row r="5" spans="2:5">
      <c r="B5" s="81"/>
      <c r="C5" s="81" t="s">
        <v>98</v>
      </c>
      <c r="D5" s="81" t="s">
        <v>99</v>
      </c>
    </row>
    <row r="6" spans="2:5">
      <c r="B6" s="81" t="s">
        <v>100</v>
      </c>
      <c r="C6" s="81">
        <v>90000</v>
      </c>
      <c r="D6" s="81"/>
    </row>
    <row r="7" spans="2:5">
      <c r="B7" s="81" t="s">
        <v>101</v>
      </c>
      <c r="C7" s="81"/>
      <c r="D7" s="81">
        <v>1400000</v>
      </c>
    </row>
    <row r="8" spans="2:5">
      <c r="B8" s="81" t="s">
        <v>102</v>
      </c>
      <c r="C8" s="84">
        <f>-C3+PV(C2,C4,-C6)</f>
        <v>77589.193104311125</v>
      </c>
      <c r="D8" s="84">
        <f>-C3+PV(C2,C4,,-D7)</f>
        <v>91375.129653964541</v>
      </c>
    </row>
    <row r="9" spans="2:5">
      <c r="B9" s="81" t="s">
        <v>103</v>
      </c>
      <c r="C9" s="82">
        <f>RATE(C4,C6,-C3)</f>
        <v>0.12414829284455312</v>
      </c>
      <c r="D9" s="82">
        <f>RATE(C4,,-C3,D7)</f>
        <v>0.10844922260027204</v>
      </c>
    </row>
    <row r="10" spans="2:5">
      <c r="B10" s="81" t="s">
        <v>104</v>
      </c>
      <c r="C10" s="81" t="str">
        <f>IF(C8&gt;D8,"项目A较优",IF(C8&lt;D8,"项目B较优","相等"))</f>
        <v>项目B较优</v>
      </c>
    </row>
    <row r="11" spans="2:5">
      <c r="B11" s="85" t="s">
        <v>105</v>
      </c>
      <c r="C11" s="86">
        <f>B15</f>
        <v>9.5099033675842534E-2</v>
      </c>
    </row>
    <row r="13" spans="2:5">
      <c r="B13" t="s">
        <v>106</v>
      </c>
    </row>
    <row r="14" spans="2:5">
      <c r="B14" s="87">
        <f>INDEX(F20:F39,MATCH(C15,I20:I39,1))</f>
        <v>0.09</v>
      </c>
      <c r="C14" s="87">
        <f>INDEX(I20:I39,MATCH(C15,I20:I39,1))</f>
        <v>-13785.936549653416</v>
      </c>
    </row>
    <row r="15" spans="2:5">
      <c r="B15" s="88">
        <f>B14+(B16-B14)*(C15-C14)/(C16-C14)</f>
        <v>9.5099033675842534E-2</v>
      </c>
      <c r="C15" s="87">
        <v>0</v>
      </c>
    </row>
    <row r="16" spans="2:5">
      <c r="B16" s="89">
        <f>INDEX(F20:F39,MATCH(C15,I20:I39,1)+1)</f>
        <v>0.1</v>
      </c>
      <c r="C16" s="87">
        <f>INDEX(I20:I39,MATCH(C15,I20:I39,1)+1)</f>
        <v>13250.434312077588</v>
      </c>
    </row>
    <row r="19" spans="2:9">
      <c r="C19" t="s">
        <v>107</v>
      </c>
      <c r="D19" t="s">
        <v>108</v>
      </c>
      <c r="F19" s="90"/>
      <c r="G19" s="91">
        <f>C8</f>
        <v>77589.193104311125</v>
      </c>
      <c r="H19" s="91">
        <f>D8</f>
        <v>91375.129653964541</v>
      </c>
      <c r="I19" s="91">
        <f>G19-H19</f>
        <v>-13785.936549653416</v>
      </c>
    </row>
    <row r="20" spans="2:9">
      <c r="B20">
        <v>0</v>
      </c>
      <c r="C20">
        <f>-C3</f>
        <v>-500000</v>
      </c>
      <c r="D20">
        <f>-C3</f>
        <v>-500000</v>
      </c>
      <c r="F20" s="92">
        <v>0.01</v>
      </c>
      <c r="G20" s="93">
        <f t="dataTable" ref="G20:I39" dt2D="0" dtr="0" r1="C2"/>
        <v>352417.40776315203</v>
      </c>
      <c r="H20" s="93">
        <v>767401.73657017644</v>
      </c>
      <c r="I20" s="94">
        <v>-414984.3288070244</v>
      </c>
    </row>
    <row r="21" spans="2:9">
      <c r="B21">
        <v>1</v>
      </c>
      <c r="C21">
        <f t="shared" ref="C21:C30" si="0">$C$6</f>
        <v>90000</v>
      </c>
      <c r="D21">
        <v>0</v>
      </c>
      <c r="F21" s="92">
        <v>0.02</v>
      </c>
      <c r="G21" s="93">
        <v>308432.65056180116</v>
      </c>
      <c r="H21" s="93">
        <v>648487.61982521741</v>
      </c>
      <c r="I21" s="94">
        <v>-340054.96926341625</v>
      </c>
    </row>
    <row r="22" spans="2:9">
      <c r="B22">
        <v>2</v>
      </c>
      <c r="C22">
        <f t="shared" si="0"/>
        <v>90000</v>
      </c>
      <c r="D22">
        <v>0</v>
      </c>
      <c r="F22" s="92">
        <v>0.03</v>
      </c>
      <c r="G22" s="93">
        <v>267718.25530982448</v>
      </c>
      <c r="H22" s="93">
        <v>541731.48085541523</v>
      </c>
      <c r="I22" s="94">
        <v>-274013.22554559074</v>
      </c>
    </row>
    <row r="23" spans="2:9">
      <c r="B23">
        <v>3</v>
      </c>
      <c r="C23">
        <f t="shared" si="0"/>
        <v>90000</v>
      </c>
      <c r="D23">
        <v>0</v>
      </c>
      <c r="F23" s="92">
        <v>0.04</v>
      </c>
      <c r="G23" s="93">
        <v>229980.62014195323</v>
      </c>
      <c r="H23" s="93">
        <v>445789.83635611797</v>
      </c>
      <c r="I23" s="94">
        <v>-215809.21621416474</v>
      </c>
    </row>
    <row r="24" spans="2:9">
      <c r="B24">
        <v>4</v>
      </c>
      <c r="C24">
        <f t="shared" si="0"/>
        <v>90000</v>
      </c>
      <c r="D24">
        <v>0</v>
      </c>
      <c r="F24" s="92">
        <v>0.05</v>
      </c>
      <c r="G24" s="93">
        <v>194956.14362663322</v>
      </c>
      <c r="H24" s="93">
        <v>359478.55495706305</v>
      </c>
      <c r="I24" s="94">
        <v>-164522.41133042984</v>
      </c>
    </row>
    <row r="25" spans="2:9">
      <c r="B25">
        <v>5</v>
      </c>
      <c r="C25">
        <f t="shared" si="0"/>
        <v>90000</v>
      </c>
      <c r="D25">
        <v>0</v>
      </c>
      <c r="F25" s="92">
        <v>0.06</v>
      </c>
      <c r="G25" s="93">
        <v>162407.8346273232</v>
      </c>
      <c r="H25" s="93">
        <v>281752.68768116506</v>
      </c>
      <c r="I25" s="94">
        <v>-119344.85305384186</v>
      </c>
    </row>
    <row r="26" spans="2:9">
      <c r="B26">
        <v>6</v>
      </c>
      <c r="C26">
        <f t="shared" si="0"/>
        <v>90000</v>
      </c>
      <c r="D26">
        <v>0</v>
      </c>
      <c r="F26" s="92">
        <v>7.0000000000000007E-2</v>
      </c>
      <c r="G26" s="93">
        <v>132122.33868393418</v>
      </c>
      <c r="H26" s="93">
        <v>211689.00898860488</v>
      </c>
      <c r="I26" s="94">
        <v>-79566.670304670697</v>
      </c>
    </row>
    <row r="27" spans="2:9">
      <c r="B27">
        <v>7</v>
      </c>
      <c r="C27">
        <f t="shared" si="0"/>
        <v>90000</v>
      </c>
      <c r="D27">
        <v>0</v>
      </c>
      <c r="F27" s="92">
        <v>0.08</v>
      </c>
      <c r="G27" s="93">
        <v>103907.32590473024</v>
      </c>
      <c r="H27" s="93">
        <v>148470.88331855799</v>
      </c>
      <c r="I27" s="94">
        <v>-44563.557413827744</v>
      </c>
    </row>
    <row r="28" spans="2:9">
      <c r="B28">
        <v>8</v>
      </c>
      <c r="C28">
        <f t="shared" si="0"/>
        <v>90000</v>
      </c>
      <c r="D28">
        <v>0</v>
      </c>
      <c r="F28" s="92">
        <v>0.09</v>
      </c>
      <c r="G28" s="93">
        <v>77589.193104311125</v>
      </c>
      <c r="H28" s="93">
        <v>91375.129653964541</v>
      </c>
      <c r="I28" s="94">
        <v>-13785.936549653416</v>
      </c>
    </row>
    <row r="29" spans="2:9">
      <c r="B29">
        <v>9</v>
      </c>
      <c r="C29">
        <f t="shared" si="0"/>
        <v>90000</v>
      </c>
      <c r="D29">
        <v>0</v>
      </c>
      <c r="F29" s="92">
        <v>0.1</v>
      </c>
      <c r="G29" s="93">
        <v>53011.039513421594</v>
      </c>
      <c r="H29" s="93">
        <v>39760.605201344006</v>
      </c>
      <c r="I29" s="94">
        <v>13250.434312077588</v>
      </c>
    </row>
    <row r="30" spans="2:9">
      <c r="B30">
        <v>10</v>
      </c>
      <c r="C30">
        <f t="shared" si="0"/>
        <v>90000</v>
      </c>
      <c r="D30">
        <f>D7</f>
        <v>1400000</v>
      </c>
      <c r="F30" s="92">
        <v>0.11</v>
      </c>
      <c r="G30" s="93">
        <v>30030.88100270892</v>
      </c>
      <c r="H30" s="93">
        <v>-6941.7297157463036</v>
      </c>
      <c r="I30" s="94">
        <v>36972.610718455224</v>
      </c>
    </row>
    <row r="31" spans="2:9">
      <c r="C31" s="95">
        <f>IRR(C20:C30)</f>
        <v>0.12414829284455298</v>
      </c>
      <c r="D31" s="95">
        <f>IRR(D20:D30)</f>
        <v>0.10844922260027201</v>
      </c>
      <c r="F31" s="92">
        <v>0.12</v>
      </c>
      <c r="G31" s="93">
        <v>8520.0725569780916</v>
      </c>
      <c r="H31" s="93">
        <v>-49237.468773025612</v>
      </c>
      <c r="I31" s="94">
        <v>57757.541330003703</v>
      </c>
    </row>
    <row r="32" spans="2:9">
      <c r="F32" s="92">
        <v>0.13</v>
      </c>
      <c r="G32" s="93">
        <v>-11638.087164240831</v>
      </c>
      <c r="H32" s="93">
        <v>-87576.312623424281</v>
      </c>
      <c r="I32" s="94">
        <v>75938.22545918345</v>
      </c>
    </row>
    <row r="33" spans="6:9">
      <c r="F33" s="92">
        <v>0.14000000000000001</v>
      </c>
      <c r="G33" s="93">
        <v>-30549.59183357755</v>
      </c>
      <c r="H33" s="93">
        <v>-122358.66667354223</v>
      </c>
      <c r="I33" s="94">
        <v>91809.074839964684</v>
      </c>
    </row>
    <row r="34" spans="6:9">
      <c r="F34" s="92">
        <v>0.15</v>
      </c>
      <c r="G34" s="93">
        <v>-48310.823673119477</v>
      </c>
      <c r="H34" s="93">
        <v>-153941.41142938781</v>
      </c>
      <c r="I34" s="94">
        <v>105630.58775626833</v>
      </c>
    </row>
    <row r="35" spans="6:9">
      <c r="F35" s="92">
        <v>0.16</v>
      </c>
      <c r="G35" s="93">
        <v>-65009.526938827534</v>
      </c>
      <c r="H35" s="93">
        <v>-182642.9551744737</v>
      </c>
      <c r="I35" s="94">
        <v>117633.42823564616</v>
      </c>
    </row>
    <row r="36" spans="6:9">
      <c r="F36" s="92">
        <v>0.17</v>
      </c>
      <c r="G36" s="93">
        <v>-80725.673503984755</v>
      </c>
      <c r="H36" s="93">
        <v>-208747.66340057377</v>
      </c>
      <c r="I36" s="94">
        <v>128021.98989658902</v>
      </c>
    </row>
    <row r="37" spans="6:9">
      <c r="F37" s="92">
        <v>0.18</v>
      </c>
      <c r="G37" s="93">
        <v>-95532.233456802904</v>
      </c>
      <c r="H37" s="93">
        <v>-232509.74632095179</v>
      </c>
      <c r="I37" s="94">
        <v>136977.51286414888</v>
      </c>
    </row>
    <row r="38" spans="6:9">
      <c r="F38" s="92">
        <v>0.19</v>
      </c>
      <c r="G38" s="93">
        <v>-109495.86197363428</v>
      </c>
      <c r="H38" s="93">
        <v>-254156.67461125882</v>
      </c>
      <c r="I38" s="94">
        <v>144660.81263762453</v>
      </c>
    </row>
    <row r="39" spans="6:9">
      <c r="F39" s="92">
        <v>0.2</v>
      </c>
      <c r="G39" s="93">
        <v>-122677.51230043062</v>
      </c>
      <c r="H39" s="93">
        <v>-273892.18395421596</v>
      </c>
      <c r="I39" s="94">
        <v>151214.67165378534</v>
      </c>
    </row>
  </sheetData>
  <phoneticPr fontId="4"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topLeftCell="C1" workbookViewId="0">
      <selection activeCell="E23" sqref="E23"/>
    </sheetView>
  </sheetViews>
  <sheetFormatPr defaultColWidth="13.25" defaultRowHeight="13.5"/>
  <cols>
    <col min="1" max="1" width="9" style="1" customWidth="1"/>
    <col min="2" max="2" width="11.375" style="1" customWidth="1"/>
    <col min="3" max="3" width="9.625" style="1" customWidth="1"/>
    <col min="4" max="4" width="10" style="1" customWidth="1"/>
    <col min="5" max="5" width="10.375" style="1" customWidth="1"/>
    <col min="6" max="16384" width="13.25" style="1"/>
  </cols>
  <sheetData>
    <row r="1" spans="1:7">
      <c r="A1" s="1">
        <f>MIN($C$13)</f>
        <v>8936.2700450499997</v>
      </c>
      <c r="B1" s="2"/>
      <c r="C1" s="2" t="s">
        <v>0</v>
      </c>
      <c r="D1" s="2" t="s">
        <v>1</v>
      </c>
      <c r="E1" s="2" t="s">
        <v>2</v>
      </c>
    </row>
    <row r="2" spans="1:7">
      <c r="A2" s="1">
        <f>COUNT($C$6:$E$7)</f>
        <v>6</v>
      </c>
      <c r="B2" s="2" t="s">
        <v>3</v>
      </c>
      <c r="C2" s="3">
        <v>120</v>
      </c>
      <c r="D2" s="3">
        <v>98</v>
      </c>
      <c r="E2" s="3">
        <v>116</v>
      </c>
    </row>
    <row r="3" spans="1:7">
      <c r="A3" s="1" t="b">
        <f t="array" ref="A3">$C$6:$E$7&gt;=0</f>
        <v>1</v>
      </c>
      <c r="B3" s="2" t="s">
        <v>4</v>
      </c>
      <c r="C3" s="3">
        <v>132</v>
      </c>
      <c r="D3" s="3">
        <v>117</v>
      </c>
      <c r="E3" s="3">
        <v>165</v>
      </c>
    </row>
    <row r="4" spans="1:7">
      <c r="A4" s="1" t="b">
        <f t="array" ref="A4">$C$6:$E$7=INT($C$6:$E$7)</f>
        <v>0</v>
      </c>
      <c r="B4" s="2" t="s">
        <v>5</v>
      </c>
      <c r="C4" s="3">
        <v>0.15</v>
      </c>
      <c r="D4" s="3">
        <v>0.12</v>
      </c>
      <c r="E4" s="3">
        <v>0.16</v>
      </c>
    </row>
    <row r="5" spans="1:7">
      <c r="A5" s="1" t="b">
        <f t="array" ref="A5">$F$6:$F$7=第6题答案1!$G$6:$G$7</f>
        <v>0</v>
      </c>
    </row>
    <row r="6" spans="1:7">
      <c r="A6" s="1" t="b">
        <f t="array" ref="A6">$C$6:$E$7&lt;=第6题答案1!$C$2:$E$3</f>
        <v>1</v>
      </c>
      <c r="B6" s="1" t="s">
        <v>6</v>
      </c>
      <c r="C6" s="4">
        <v>84.000000999999969</v>
      </c>
      <c r="D6" s="4">
        <v>0</v>
      </c>
      <c r="E6" s="4">
        <v>116</v>
      </c>
      <c r="F6" s="1">
        <f>SUM(C6:E6)</f>
        <v>200.00000099999997</v>
      </c>
      <c r="G6" s="1">
        <v>200</v>
      </c>
    </row>
    <row r="7" spans="1:7">
      <c r="A7" s="1">
        <f>{100,100,0.000001,0.05,FALSE,FALSE,FALSE,1,1,1,0.0001,FALSE}</f>
        <v>100</v>
      </c>
      <c r="C7" s="4">
        <v>35.00000099999999</v>
      </c>
      <c r="D7" s="4">
        <v>0</v>
      </c>
      <c r="E7" s="4">
        <v>165</v>
      </c>
      <c r="F7" s="1">
        <f>SUM(C7:E7)</f>
        <v>200.000001</v>
      </c>
      <c r="G7" s="1">
        <v>200</v>
      </c>
    </row>
    <row r="8" spans="1:7">
      <c r="C8" s="5">
        <f>SUM(C6:C7)</f>
        <v>119.00000199999997</v>
      </c>
      <c r="D8" s="5">
        <f t="shared" ref="D8:E8" si="0">SUM(D6:D7)</f>
        <v>0</v>
      </c>
      <c r="E8" s="5">
        <f t="shared" si="0"/>
        <v>281</v>
      </c>
    </row>
    <row r="10" spans="1:7">
      <c r="B10" s="1" t="s">
        <v>7</v>
      </c>
      <c r="C10" s="1">
        <f>IF(C8&lt;50,28,28*(1-C4))</f>
        <v>23.8</v>
      </c>
      <c r="D10" s="1">
        <f t="shared" ref="D10:E10" si="1">IF(D8&lt;50,28,28*(1-D4))</f>
        <v>28</v>
      </c>
      <c r="E10" s="1">
        <f t="shared" si="1"/>
        <v>23.52</v>
      </c>
    </row>
    <row r="11" spans="1:7">
      <c r="C11" s="1">
        <f>IF(C8&lt;50,25,25*(1-C4))</f>
        <v>21.25</v>
      </c>
      <c r="D11" s="1">
        <f t="shared" ref="D11:E11" si="2">IF(D8&lt;50,25,25*(1-D4))</f>
        <v>25</v>
      </c>
      <c r="E11" s="1">
        <f t="shared" si="2"/>
        <v>21</v>
      </c>
    </row>
    <row r="13" spans="1:7">
      <c r="B13" s="1" t="s">
        <v>8</v>
      </c>
      <c r="C13" s="1">
        <f t="array" ref="C13">SUM(C6:E7*C10:E11)</f>
        <v>8936.2700450499997</v>
      </c>
    </row>
  </sheetData>
  <phoneticPr fontId="4" type="noConversion"/>
  <pageMargins left="0.75" right="0.75" top="1" bottom="1" header="0.5" footer="0.5"/>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workbookViewId="0">
      <selection activeCell="E23" sqref="E23"/>
    </sheetView>
  </sheetViews>
  <sheetFormatPr defaultColWidth="13.25" defaultRowHeight="13.5"/>
  <cols>
    <col min="1" max="1" width="9" style="1" customWidth="1"/>
    <col min="2" max="2" width="11.375" style="1" customWidth="1"/>
    <col min="3" max="3" width="9.625" style="1" customWidth="1"/>
    <col min="4" max="4" width="10" style="1" customWidth="1"/>
    <col min="5" max="5" width="10.375" style="1" customWidth="1"/>
    <col min="6" max="16384" width="13.25" style="1"/>
  </cols>
  <sheetData>
    <row r="1" spans="1:7">
      <c r="A1" s="1">
        <f>MIN($C$13)</f>
        <v>9051.8100224941172</v>
      </c>
      <c r="B1" s="2"/>
      <c r="C1" s="2" t="s">
        <v>9</v>
      </c>
      <c r="D1" s="2" t="s">
        <v>10</v>
      </c>
      <c r="E1" s="2" t="s">
        <v>11</v>
      </c>
    </row>
    <row r="2" spans="1:7">
      <c r="A2" s="1">
        <f>COUNT($C$6:$E$7)</f>
        <v>6</v>
      </c>
      <c r="B2" s="2" t="s">
        <v>3</v>
      </c>
      <c r="C2" s="3">
        <v>120</v>
      </c>
      <c r="D2" s="3">
        <v>98</v>
      </c>
      <c r="E2" s="3">
        <v>116</v>
      </c>
    </row>
    <row r="3" spans="1:7">
      <c r="A3" s="1" t="b">
        <f t="array" ref="A3">$C$6:$E$7&gt;=0</f>
        <v>1</v>
      </c>
      <c r="B3" s="2" t="s">
        <v>4</v>
      </c>
      <c r="C3" s="3">
        <v>132</v>
      </c>
      <c r="D3" s="3">
        <v>117</v>
      </c>
      <c r="E3" s="3">
        <v>165</v>
      </c>
    </row>
    <row r="4" spans="1:7">
      <c r="A4" s="1" t="b">
        <f t="array" ref="A4">$C$6:$E$7=INT($C$6:$E$7)</f>
        <v>1</v>
      </c>
      <c r="B4" s="2" t="s">
        <v>5</v>
      </c>
      <c r="C4" s="3">
        <v>0.15</v>
      </c>
      <c r="D4" s="3">
        <v>0.12</v>
      </c>
      <c r="E4" s="3">
        <v>0.16</v>
      </c>
    </row>
    <row r="5" spans="1:7">
      <c r="A5" s="1" t="b">
        <f t="array" ref="A5">$F$6:$F$7=第6题答案2!$G$6:$G$7</f>
        <v>0</v>
      </c>
    </row>
    <row r="6" spans="1:7">
      <c r="A6" s="1" t="b">
        <f t="array" ref="A6">$C$6:$E$7&lt;=第6题答案2!$C$2:$E$3</f>
        <v>1</v>
      </c>
      <c r="B6" s="1" t="s">
        <v>6</v>
      </c>
      <c r="C6" s="4">
        <v>77</v>
      </c>
      <c r="D6" s="4">
        <v>50.000000000000789</v>
      </c>
      <c r="E6" s="4">
        <v>73.000000999999017</v>
      </c>
      <c r="F6" s="1">
        <f>SUM(C6:E6)</f>
        <v>200.00000099999983</v>
      </c>
      <c r="G6" s="1">
        <v>200</v>
      </c>
    </row>
    <row r="7" spans="1:7">
      <c r="A7" s="1">
        <f>{100,100,0.000001,0.05,FALSE,FALSE,FALSE,1,1,1,0.0001,FALSE}</f>
        <v>100</v>
      </c>
      <c r="C7" s="4">
        <v>77</v>
      </c>
      <c r="D7" s="4">
        <v>50.999999953369155</v>
      </c>
      <c r="E7" s="4">
        <v>72</v>
      </c>
      <c r="F7" s="1">
        <f>SUM(C7:E7)</f>
        <v>199.99999995336916</v>
      </c>
      <c r="G7" s="1">
        <v>200</v>
      </c>
    </row>
    <row r="8" spans="1:7">
      <c r="C8" s="5"/>
      <c r="D8" s="5"/>
      <c r="E8" s="5"/>
    </row>
    <row r="10" spans="1:7">
      <c r="B10" s="1" t="s">
        <v>7</v>
      </c>
      <c r="C10" s="1">
        <f>IF(C6&lt;50,28,28*(1-C4))</f>
        <v>23.8</v>
      </c>
      <c r="D10" s="1">
        <f t="shared" ref="D10:E10" si="0">IF(D6&lt;50,28,28*(1-D4))</f>
        <v>24.64</v>
      </c>
      <c r="E10" s="1">
        <f t="shared" si="0"/>
        <v>23.52</v>
      </c>
    </row>
    <row r="11" spans="1:7">
      <c r="C11" s="1">
        <f>IF(C7&lt;50,25,25*(1-C4))</f>
        <v>21.25</v>
      </c>
      <c r="D11" s="1">
        <f t="shared" ref="D11:E11" si="1">IF(D7&lt;50,25,25*(1-D4))</f>
        <v>22</v>
      </c>
      <c r="E11" s="1">
        <f t="shared" si="1"/>
        <v>21</v>
      </c>
    </row>
    <row r="13" spans="1:7">
      <c r="B13" s="1" t="s">
        <v>8</v>
      </c>
      <c r="C13" s="1">
        <f t="array" ref="C13">SUM(C6:E7*C10:E11)</f>
        <v>9051.8100224941172</v>
      </c>
    </row>
  </sheetData>
  <phoneticPr fontId="4" type="noConversion"/>
  <pageMargins left="0.75" right="0.75" top="1" bottom="1" header="0.5" footer="0.5"/>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4"/>
  <sheetViews>
    <sheetView showGridLines="0" topLeftCell="A25" workbookViewId="0">
      <selection activeCell="C42" sqref="C42"/>
    </sheetView>
  </sheetViews>
  <sheetFormatPr defaultRowHeight="13.5"/>
  <cols>
    <col min="1" max="1" width="14.5" style="99" customWidth="1"/>
    <col min="2" max="2" width="12.625" style="99" customWidth="1"/>
    <col min="3" max="3" width="19.375" style="99" bestFit="1" customWidth="1"/>
    <col min="4" max="4" width="10.5" style="99" bestFit="1" customWidth="1"/>
    <col min="5" max="7" width="12.75" style="99" bestFit="1" customWidth="1"/>
    <col min="8" max="8" width="11.625" style="99" bestFit="1" customWidth="1"/>
    <col min="9" max="9" width="10.125" style="99" customWidth="1"/>
    <col min="10" max="16384" width="9" style="99"/>
  </cols>
  <sheetData>
    <row r="2" spans="1:8">
      <c r="A2" s="96">
        <f>MAX($H$14)</f>
        <v>129956.02088377722</v>
      </c>
      <c r="B2" s="96">
        <f>MAX($H$14)</f>
        <v>129956.02088377722</v>
      </c>
      <c r="C2" s="97" t="s">
        <v>109</v>
      </c>
      <c r="D2" s="98">
        <v>3.2500000000000001E-2</v>
      </c>
    </row>
    <row r="3" spans="1:8">
      <c r="A3" s="99">
        <f>COUNT($D$12:$G$12,$D$13:$E$13)</f>
        <v>6</v>
      </c>
      <c r="B3" s="99">
        <f>COUNT($D$12:$G$12,$D$13:$E$13)</f>
        <v>6</v>
      </c>
      <c r="C3" s="97" t="s">
        <v>110</v>
      </c>
      <c r="D3" s="98">
        <v>4.4999999999999998E-2</v>
      </c>
    </row>
    <row r="4" spans="1:8">
      <c r="A4" s="99" t="b">
        <f t="array" ref="A4">$D$13:$E$13&gt;=0</f>
        <v>1</v>
      </c>
      <c r="B4" s="99" t="b">
        <f t="array" ref="B4">$D$12:$G$12&gt;=0</f>
        <v>1</v>
      </c>
    </row>
    <row r="5" spans="1:8">
      <c r="A5" s="99" t="b">
        <f t="array" ref="A5">$D$12:$G$12&gt;=0</f>
        <v>1</v>
      </c>
      <c r="B5" s="99" t="b">
        <f t="array" ref="B5">$D$12:$G$12=INT($D$12:$G$12)</f>
        <v>0</v>
      </c>
    </row>
    <row r="6" spans="1:8">
      <c r="A6" s="99" t="b">
        <f t="array" ref="A6">$D$14:$G$14&gt;=0</f>
        <v>1</v>
      </c>
      <c r="B6" s="99" t="b">
        <f t="array" ref="B6">$D$13:$E$13=INT($D$13:$E$13)</f>
        <v>0</v>
      </c>
    </row>
    <row r="7" spans="1:8">
      <c r="A7" s="99">
        <f>{100,100,0.000001,0.05,FALSE,FALSE,FALSE,1,1,1,0.0001,TRUE}</f>
        <v>100</v>
      </c>
      <c r="B7" s="99" t="b">
        <f t="array" ref="B7">$D$13:$E$13&gt;=0</f>
        <v>1</v>
      </c>
      <c r="C7" s="100"/>
      <c r="D7" s="100" t="s">
        <v>111</v>
      </c>
      <c r="E7" s="100" t="s">
        <v>112</v>
      </c>
      <c r="F7" s="100" t="s">
        <v>113</v>
      </c>
      <c r="G7" s="100" t="s">
        <v>114</v>
      </c>
      <c r="H7" s="100" t="s">
        <v>115</v>
      </c>
    </row>
    <row r="8" spans="1:8">
      <c r="A8" s="99">
        <f>{100,100,1,100,0,FALSE,TRUE,0.075,0,0,FALSE,30}</f>
        <v>100</v>
      </c>
      <c r="B8" s="99" t="b">
        <f t="array" ref="B8">$D$14:$G$14&gt;=0</f>
        <v>1</v>
      </c>
      <c r="C8" s="100" t="s">
        <v>116</v>
      </c>
      <c r="D8" s="100">
        <v>100000</v>
      </c>
      <c r="E8" s="100">
        <f>D14</f>
        <v>0</v>
      </c>
      <c r="F8" s="100">
        <f>E14</f>
        <v>0</v>
      </c>
      <c r="G8" s="100">
        <f>F14</f>
        <v>0</v>
      </c>
      <c r="H8" s="101">
        <f>G14</f>
        <v>0</v>
      </c>
    </row>
    <row r="9" spans="1:8">
      <c r="B9" s="99">
        <f>{100,100,0.000001,0.05,FALSE,FALSE,FALSE,1,1,1,0.0001,TRUE}</f>
        <v>100</v>
      </c>
      <c r="C9" s="100" t="s">
        <v>117</v>
      </c>
      <c r="D9" s="100"/>
      <c r="E9" s="100">
        <f>D12*(1+$D$2)</f>
        <v>59809.587761703333</v>
      </c>
      <c r="F9" s="100">
        <f>E12*(1+$D$2)</f>
        <v>15000</v>
      </c>
      <c r="G9" s="100">
        <f>F12*(1+$D$2)+D13*(1+3*$D$3)</f>
        <v>59102.898683260733</v>
      </c>
      <c r="H9" s="101">
        <f>G12*(1+$D$2)+E13*(1+3*$D$3)</f>
        <v>129956.02088377722</v>
      </c>
    </row>
    <row r="10" spans="1:8">
      <c r="B10" s="99">
        <f>{100,100,1,100,0,FALSE,TRUE,0.075,0,0,FALSE,30}</f>
        <v>100</v>
      </c>
      <c r="C10" s="100" t="s">
        <v>118</v>
      </c>
      <c r="D10" s="100">
        <v>10000</v>
      </c>
      <c r="E10" s="100">
        <v>20000</v>
      </c>
      <c r="F10" s="100"/>
      <c r="G10" s="100"/>
      <c r="H10" s="101"/>
    </row>
    <row r="11" spans="1:8">
      <c r="C11" s="100" t="s">
        <v>119</v>
      </c>
      <c r="D11" s="100"/>
      <c r="E11" s="100"/>
      <c r="F11" s="100">
        <v>15000</v>
      </c>
      <c r="G11" s="100">
        <v>5000</v>
      </c>
      <c r="H11" s="101"/>
    </row>
    <row r="12" spans="1:8">
      <c r="C12" s="100" t="s">
        <v>120</v>
      </c>
      <c r="D12" s="102">
        <v>57926.961512545604</v>
      </c>
      <c r="E12" s="102">
        <v>14527.845036319613</v>
      </c>
      <c r="F12" s="102">
        <v>0</v>
      </c>
      <c r="G12" s="102">
        <v>54102.898683260733</v>
      </c>
      <c r="H12" s="101"/>
    </row>
    <row r="13" spans="1:8">
      <c r="C13" s="100" t="s">
        <v>121</v>
      </c>
      <c r="D13" s="102">
        <v>52073.038487454389</v>
      </c>
      <c r="E13" s="102">
        <v>65281.742725383716</v>
      </c>
      <c r="F13" s="101"/>
      <c r="G13" s="101"/>
      <c r="H13" s="101"/>
    </row>
    <row r="14" spans="1:8">
      <c r="C14" s="100" t="s">
        <v>122</v>
      </c>
      <c r="D14" s="103">
        <f>D8+SUM(D9:D10)-SUM(D11:D13)</f>
        <v>0</v>
      </c>
      <c r="E14" s="103">
        <f t="shared" ref="E14:H14" si="0">E8+SUM(E9:E10)-SUM(E11:E13)</f>
        <v>0</v>
      </c>
      <c r="F14" s="103">
        <f t="shared" si="0"/>
        <v>0</v>
      </c>
      <c r="G14" s="103">
        <f t="shared" si="0"/>
        <v>0</v>
      </c>
      <c r="H14" s="103">
        <f t="shared" si="0"/>
        <v>129956.02088377722</v>
      </c>
    </row>
  </sheetData>
  <phoneticPr fontId="4" type="noConversion"/>
  <pageMargins left="0.75" right="0.75" top="1" bottom="1" header="0.5" footer="0.5"/>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election activeCell="C14" sqref="C14"/>
    </sheetView>
  </sheetViews>
  <sheetFormatPr defaultRowHeight="12"/>
  <cols>
    <col min="1" max="1" width="23" style="9" customWidth="1"/>
    <col min="2" max="2" width="6.375" style="9" customWidth="1"/>
    <col min="3" max="10" width="9" style="9"/>
    <col min="11" max="11" width="9.5" style="9" bestFit="1" customWidth="1"/>
    <col min="12" max="256" width="9" style="9"/>
    <col min="257" max="257" width="16.125" style="9" customWidth="1"/>
    <col min="258" max="258" width="6.375" style="9" customWidth="1"/>
    <col min="259" max="266" width="9" style="9"/>
    <col min="267" max="267" width="9.5" style="9" bestFit="1" customWidth="1"/>
    <col min="268" max="512" width="9" style="9"/>
    <col min="513" max="513" width="16.125" style="9" customWidth="1"/>
    <col min="514" max="514" width="6.375" style="9" customWidth="1"/>
    <col min="515" max="522" width="9" style="9"/>
    <col min="523" max="523" width="9.5" style="9" bestFit="1" customWidth="1"/>
    <col min="524" max="768" width="9" style="9"/>
    <col min="769" max="769" width="16.125" style="9" customWidth="1"/>
    <col min="770" max="770" width="6.375" style="9" customWidth="1"/>
    <col min="771" max="778" width="9" style="9"/>
    <col min="779" max="779" width="9.5" style="9" bestFit="1" customWidth="1"/>
    <col min="780" max="1024" width="9" style="9"/>
    <col min="1025" max="1025" width="16.125" style="9" customWidth="1"/>
    <col min="1026" max="1026" width="6.375" style="9" customWidth="1"/>
    <col min="1027" max="1034" width="9" style="9"/>
    <col min="1035" max="1035" width="9.5" style="9" bestFit="1" customWidth="1"/>
    <col min="1036" max="1280" width="9" style="9"/>
    <col min="1281" max="1281" width="16.125" style="9" customWidth="1"/>
    <col min="1282" max="1282" width="6.375" style="9" customWidth="1"/>
    <col min="1283" max="1290" width="9" style="9"/>
    <col min="1291" max="1291" width="9.5" style="9" bestFit="1" customWidth="1"/>
    <col min="1292" max="1536" width="9" style="9"/>
    <col min="1537" max="1537" width="16.125" style="9" customWidth="1"/>
    <col min="1538" max="1538" width="6.375" style="9" customWidth="1"/>
    <col min="1539" max="1546" width="9" style="9"/>
    <col min="1547" max="1547" width="9.5" style="9" bestFit="1" customWidth="1"/>
    <col min="1548" max="1792" width="9" style="9"/>
    <col min="1793" max="1793" width="16.125" style="9" customWidth="1"/>
    <col min="1794" max="1794" width="6.375" style="9" customWidth="1"/>
    <col min="1795" max="1802" width="9" style="9"/>
    <col min="1803" max="1803" width="9.5" style="9" bestFit="1" customWidth="1"/>
    <col min="1804" max="2048" width="9" style="9"/>
    <col min="2049" max="2049" width="16.125" style="9" customWidth="1"/>
    <col min="2050" max="2050" width="6.375" style="9" customWidth="1"/>
    <col min="2051" max="2058" width="9" style="9"/>
    <col min="2059" max="2059" width="9.5" style="9" bestFit="1" customWidth="1"/>
    <col min="2060" max="2304" width="9" style="9"/>
    <col min="2305" max="2305" width="16.125" style="9" customWidth="1"/>
    <col min="2306" max="2306" width="6.375" style="9" customWidth="1"/>
    <col min="2307" max="2314" width="9" style="9"/>
    <col min="2315" max="2315" width="9.5" style="9" bestFit="1" customWidth="1"/>
    <col min="2316" max="2560" width="9" style="9"/>
    <col min="2561" max="2561" width="16.125" style="9" customWidth="1"/>
    <col min="2562" max="2562" width="6.375" style="9" customWidth="1"/>
    <col min="2563" max="2570" width="9" style="9"/>
    <col min="2571" max="2571" width="9.5" style="9" bestFit="1" customWidth="1"/>
    <col min="2572" max="2816" width="9" style="9"/>
    <col min="2817" max="2817" width="16.125" style="9" customWidth="1"/>
    <col min="2818" max="2818" width="6.375" style="9" customWidth="1"/>
    <col min="2819" max="2826" width="9" style="9"/>
    <col min="2827" max="2827" width="9.5" style="9" bestFit="1" customWidth="1"/>
    <col min="2828" max="3072" width="9" style="9"/>
    <col min="3073" max="3073" width="16.125" style="9" customWidth="1"/>
    <col min="3074" max="3074" width="6.375" style="9" customWidth="1"/>
    <col min="3075" max="3082" width="9" style="9"/>
    <col min="3083" max="3083" width="9.5" style="9" bestFit="1" customWidth="1"/>
    <col min="3084" max="3328" width="9" style="9"/>
    <col min="3329" max="3329" width="16.125" style="9" customWidth="1"/>
    <col min="3330" max="3330" width="6.375" style="9" customWidth="1"/>
    <col min="3331" max="3338" width="9" style="9"/>
    <col min="3339" max="3339" width="9.5" style="9" bestFit="1" customWidth="1"/>
    <col min="3340" max="3584" width="9" style="9"/>
    <col min="3585" max="3585" width="16.125" style="9" customWidth="1"/>
    <col min="3586" max="3586" width="6.375" style="9" customWidth="1"/>
    <col min="3587" max="3594" width="9" style="9"/>
    <col min="3595" max="3595" width="9.5" style="9" bestFit="1" customWidth="1"/>
    <col min="3596" max="3840" width="9" style="9"/>
    <col min="3841" max="3841" width="16.125" style="9" customWidth="1"/>
    <col min="3842" max="3842" width="6.375" style="9" customWidth="1"/>
    <col min="3843" max="3850" width="9" style="9"/>
    <col min="3851" max="3851" width="9.5" style="9" bestFit="1" customWidth="1"/>
    <col min="3852" max="4096" width="9" style="9"/>
    <col min="4097" max="4097" width="16.125" style="9" customWidth="1"/>
    <col min="4098" max="4098" width="6.375" style="9" customWidth="1"/>
    <col min="4099" max="4106" width="9" style="9"/>
    <col min="4107" max="4107" width="9.5" style="9" bestFit="1" customWidth="1"/>
    <col min="4108" max="4352" width="9" style="9"/>
    <col min="4353" max="4353" width="16.125" style="9" customWidth="1"/>
    <col min="4354" max="4354" width="6.375" style="9" customWidth="1"/>
    <col min="4355" max="4362" width="9" style="9"/>
    <col min="4363" max="4363" width="9.5" style="9" bestFit="1" customWidth="1"/>
    <col min="4364" max="4608" width="9" style="9"/>
    <col min="4609" max="4609" width="16.125" style="9" customWidth="1"/>
    <col min="4610" max="4610" width="6.375" style="9" customWidth="1"/>
    <col min="4611" max="4618" width="9" style="9"/>
    <col min="4619" max="4619" width="9.5" style="9" bestFit="1" customWidth="1"/>
    <col min="4620" max="4864" width="9" style="9"/>
    <col min="4865" max="4865" width="16.125" style="9" customWidth="1"/>
    <col min="4866" max="4866" width="6.375" style="9" customWidth="1"/>
    <col min="4867" max="4874" width="9" style="9"/>
    <col min="4875" max="4875" width="9.5" style="9" bestFit="1" customWidth="1"/>
    <col min="4876" max="5120" width="9" style="9"/>
    <col min="5121" max="5121" width="16.125" style="9" customWidth="1"/>
    <col min="5122" max="5122" width="6.375" style="9" customWidth="1"/>
    <col min="5123" max="5130" width="9" style="9"/>
    <col min="5131" max="5131" width="9.5" style="9" bestFit="1" customWidth="1"/>
    <col min="5132" max="5376" width="9" style="9"/>
    <col min="5377" max="5377" width="16.125" style="9" customWidth="1"/>
    <col min="5378" max="5378" width="6.375" style="9" customWidth="1"/>
    <col min="5379" max="5386" width="9" style="9"/>
    <col min="5387" max="5387" width="9.5" style="9" bestFit="1" customWidth="1"/>
    <col min="5388" max="5632" width="9" style="9"/>
    <col min="5633" max="5633" width="16.125" style="9" customWidth="1"/>
    <col min="5634" max="5634" width="6.375" style="9" customWidth="1"/>
    <col min="5635" max="5642" width="9" style="9"/>
    <col min="5643" max="5643" width="9.5" style="9" bestFit="1" customWidth="1"/>
    <col min="5644" max="5888" width="9" style="9"/>
    <col min="5889" max="5889" width="16.125" style="9" customWidth="1"/>
    <col min="5890" max="5890" width="6.375" style="9" customWidth="1"/>
    <col min="5891" max="5898" width="9" style="9"/>
    <col min="5899" max="5899" width="9.5" style="9" bestFit="1" customWidth="1"/>
    <col min="5900" max="6144" width="9" style="9"/>
    <col min="6145" max="6145" width="16.125" style="9" customWidth="1"/>
    <col min="6146" max="6146" width="6.375" style="9" customWidth="1"/>
    <col min="6147" max="6154" width="9" style="9"/>
    <col min="6155" max="6155" width="9.5" style="9" bestFit="1" customWidth="1"/>
    <col min="6156" max="6400" width="9" style="9"/>
    <col min="6401" max="6401" width="16.125" style="9" customWidth="1"/>
    <col min="6402" max="6402" width="6.375" style="9" customWidth="1"/>
    <col min="6403" max="6410" width="9" style="9"/>
    <col min="6411" max="6411" width="9.5" style="9" bestFit="1" customWidth="1"/>
    <col min="6412" max="6656" width="9" style="9"/>
    <col min="6657" max="6657" width="16.125" style="9" customWidth="1"/>
    <col min="6658" max="6658" width="6.375" style="9" customWidth="1"/>
    <col min="6659" max="6666" width="9" style="9"/>
    <col min="6667" max="6667" width="9.5" style="9" bestFit="1" customWidth="1"/>
    <col min="6668" max="6912" width="9" style="9"/>
    <col min="6913" max="6913" width="16.125" style="9" customWidth="1"/>
    <col min="6914" max="6914" width="6.375" style="9" customWidth="1"/>
    <col min="6915" max="6922" width="9" style="9"/>
    <col min="6923" max="6923" width="9.5" style="9" bestFit="1" customWidth="1"/>
    <col min="6924" max="7168" width="9" style="9"/>
    <col min="7169" max="7169" width="16.125" style="9" customWidth="1"/>
    <col min="7170" max="7170" width="6.375" style="9" customWidth="1"/>
    <col min="7171" max="7178" width="9" style="9"/>
    <col min="7179" max="7179" width="9.5" style="9" bestFit="1" customWidth="1"/>
    <col min="7180" max="7424" width="9" style="9"/>
    <col min="7425" max="7425" width="16.125" style="9" customWidth="1"/>
    <col min="7426" max="7426" width="6.375" style="9" customWidth="1"/>
    <col min="7427" max="7434" width="9" style="9"/>
    <col min="7435" max="7435" width="9.5" style="9" bestFit="1" customWidth="1"/>
    <col min="7436" max="7680" width="9" style="9"/>
    <col min="7681" max="7681" width="16.125" style="9" customWidth="1"/>
    <col min="7682" max="7682" width="6.375" style="9" customWidth="1"/>
    <col min="7683" max="7690" width="9" style="9"/>
    <col min="7691" max="7691" width="9.5" style="9" bestFit="1" customWidth="1"/>
    <col min="7692" max="7936" width="9" style="9"/>
    <col min="7937" max="7937" width="16.125" style="9" customWidth="1"/>
    <col min="7938" max="7938" width="6.375" style="9" customWidth="1"/>
    <col min="7939" max="7946" width="9" style="9"/>
    <col min="7947" max="7947" width="9.5" style="9" bestFit="1" customWidth="1"/>
    <col min="7948" max="8192" width="9" style="9"/>
    <col min="8193" max="8193" width="16.125" style="9" customWidth="1"/>
    <col min="8194" max="8194" width="6.375" style="9" customWidth="1"/>
    <col min="8195" max="8202" width="9" style="9"/>
    <col min="8203" max="8203" width="9.5" style="9" bestFit="1" customWidth="1"/>
    <col min="8204" max="8448" width="9" style="9"/>
    <col min="8449" max="8449" width="16.125" style="9" customWidth="1"/>
    <col min="8450" max="8450" width="6.375" style="9" customWidth="1"/>
    <col min="8451" max="8458" width="9" style="9"/>
    <col min="8459" max="8459" width="9.5" style="9" bestFit="1" customWidth="1"/>
    <col min="8460" max="8704" width="9" style="9"/>
    <col min="8705" max="8705" width="16.125" style="9" customWidth="1"/>
    <col min="8706" max="8706" width="6.375" style="9" customWidth="1"/>
    <col min="8707" max="8714" width="9" style="9"/>
    <col min="8715" max="8715" width="9.5" style="9" bestFit="1" customWidth="1"/>
    <col min="8716" max="8960" width="9" style="9"/>
    <col min="8961" max="8961" width="16.125" style="9" customWidth="1"/>
    <col min="8962" max="8962" width="6.375" style="9" customWidth="1"/>
    <col min="8963" max="8970" width="9" style="9"/>
    <col min="8971" max="8971" width="9.5" style="9" bestFit="1" customWidth="1"/>
    <col min="8972" max="9216" width="9" style="9"/>
    <col min="9217" max="9217" width="16.125" style="9" customWidth="1"/>
    <col min="9218" max="9218" width="6.375" style="9" customWidth="1"/>
    <col min="9219" max="9226" width="9" style="9"/>
    <col min="9227" max="9227" width="9.5" style="9" bestFit="1" customWidth="1"/>
    <col min="9228" max="9472" width="9" style="9"/>
    <col min="9473" max="9473" width="16.125" style="9" customWidth="1"/>
    <col min="9474" max="9474" width="6.375" style="9" customWidth="1"/>
    <col min="9475" max="9482" width="9" style="9"/>
    <col min="9483" max="9483" width="9.5" style="9" bestFit="1" customWidth="1"/>
    <col min="9484" max="9728" width="9" style="9"/>
    <col min="9729" max="9729" width="16.125" style="9" customWidth="1"/>
    <col min="9730" max="9730" width="6.375" style="9" customWidth="1"/>
    <col min="9731" max="9738" width="9" style="9"/>
    <col min="9739" max="9739" width="9.5" style="9" bestFit="1" customWidth="1"/>
    <col min="9740" max="9984" width="9" style="9"/>
    <col min="9985" max="9985" width="16.125" style="9" customWidth="1"/>
    <col min="9986" max="9986" width="6.375" style="9" customWidth="1"/>
    <col min="9987" max="9994" width="9" style="9"/>
    <col min="9995" max="9995" width="9.5" style="9" bestFit="1" customWidth="1"/>
    <col min="9996" max="10240" width="9" style="9"/>
    <col min="10241" max="10241" width="16.125" style="9" customWidth="1"/>
    <col min="10242" max="10242" width="6.375" style="9" customWidth="1"/>
    <col min="10243" max="10250" width="9" style="9"/>
    <col min="10251" max="10251" width="9.5" style="9" bestFit="1" customWidth="1"/>
    <col min="10252" max="10496" width="9" style="9"/>
    <col min="10497" max="10497" width="16.125" style="9" customWidth="1"/>
    <col min="10498" max="10498" width="6.375" style="9" customWidth="1"/>
    <col min="10499" max="10506" width="9" style="9"/>
    <col min="10507" max="10507" width="9.5" style="9" bestFit="1" customWidth="1"/>
    <col min="10508" max="10752" width="9" style="9"/>
    <col min="10753" max="10753" width="16.125" style="9" customWidth="1"/>
    <col min="10754" max="10754" width="6.375" style="9" customWidth="1"/>
    <col min="10755" max="10762" width="9" style="9"/>
    <col min="10763" max="10763" width="9.5" style="9" bestFit="1" customWidth="1"/>
    <col min="10764" max="11008" width="9" style="9"/>
    <col min="11009" max="11009" width="16.125" style="9" customWidth="1"/>
    <col min="11010" max="11010" width="6.375" style="9" customWidth="1"/>
    <col min="11011" max="11018" width="9" style="9"/>
    <col min="11019" max="11019" width="9.5" style="9" bestFit="1" customWidth="1"/>
    <col min="11020" max="11264" width="9" style="9"/>
    <col min="11265" max="11265" width="16.125" style="9" customWidth="1"/>
    <col min="11266" max="11266" width="6.375" style="9" customWidth="1"/>
    <col min="11267" max="11274" width="9" style="9"/>
    <col min="11275" max="11275" width="9.5" style="9" bestFit="1" customWidth="1"/>
    <col min="11276" max="11520" width="9" style="9"/>
    <col min="11521" max="11521" width="16.125" style="9" customWidth="1"/>
    <col min="11522" max="11522" width="6.375" style="9" customWidth="1"/>
    <col min="11523" max="11530" width="9" style="9"/>
    <col min="11531" max="11531" width="9.5" style="9" bestFit="1" customWidth="1"/>
    <col min="11532" max="11776" width="9" style="9"/>
    <col min="11777" max="11777" width="16.125" style="9" customWidth="1"/>
    <col min="11778" max="11778" width="6.375" style="9" customWidth="1"/>
    <col min="11779" max="11786" width="9" style="9"/>
    <col min="11787" max="11787" width="9.5" style="9" bestFit="1" customWidth="1"/>
    <col min="11788" max="12032" width="9" style="9"/>
    <col min="12033" max="12033" width="16.125" style="9" customWidth="1"/>
    <col min="12034" max="12034" width="6.375" style="9" customWidth="1"/>
    <col min="12035" max="12042" width="9" style="9"/>
    <col min="12043" max="12043" width="9.5" style="9" bestFit="1" customWidth="1"/>
    <col min="12044" max="12288" width="9" style="9"/>
    <col min="12289" max="12289" width="16.125" style="9" customWidth="1"/>
    <col min="12290" max="12290" width="6.375" style="9" customWidth="1"/>
    <col min="12291" max="12298" width="9" style="9"/>
    <col min="12299" max="12299" width="9.5" style="9" bestFit="1" customWidth="1"/>
    <col min="12300" max="12544" width="9" style="9"/>
    <col min="12545" max="12545" width="16.125" style="9" customWidth="1"/>
    <col min="12546" max="12546" width="6.375" style="9" customWidth="1"/>
    <col min="12547" max="12554" width="9" style="9"/>
    <col min="12555" max="12555" width="9.5" style="9" bestFit="1" customWidth="1"/>
    <col min="12556" max="12800" width="9" style="9"/>
    <col min="12801" max="12801" width="16.125" style="9" customWidth="1"/>
    <col min="12802" max="12802" width="6.375" style="9" customWidth="1"/>
    <col min="12803" max="12810" width="9" style="9"/>
    <col min="12811" max="12811" width="9.5" style="9" bestFit="1" customWidth="1"/>
    <col min="12812" max="13056" width="9" style="9"/>
    <col min="13057" max="13057" width="16.125" style="9" customWidth="1"/>
    <col min="13058" max="13058" width="6.375" style="9" customWidth="1"/>
    <col min="13059" max="13066" width="9" style="9"/>
    <col min="13067" max="13067" width="9.5" style="9" bestFit="1" customWidth="1"/>
    <col min="13068" max="13312" width="9" style="9"/>
    <col min="13313" max="13313" width="16.125" style="9" customWidth="1"/>
    <col min="13314" max="13314" width="6.375" style="9" customWidth="1"/>
    <col min="13315" max="13322" width="9" style="9"/>
    <col min="13323" max="13323" width="9.5" style="9" bestFit="1" customWidth="1"/>
    <col min="13324" max="13568" width="9" style="9"/>
    <col min="13569" max="13569" width="16.125" style="9" customWidth="1"/>
    <col min="13570" max="13570" width="6.375" style="9" customWidth="1"/>
    <col min="13571" max="13578" width="9" style="9"/>
    <col min="13579" max="13579" width="9.5" style="9" bestFit="1" customWidth="1"/>
    <col min="13580" max="13824" width="9" style="9"/>
    <col min="13825" max="13825" width="16.125" style="9" customWidth="1"/>
    <col min="13826" max="13826" width="6.375" style="9" customWidth="1"/>
    <col min="13827" max="13834" width="9" style="9"/>
    <col min="13835" max="13835" width="9.5" style="9" bestFit="1" customWidth="1"/>
    <col min="13836" max="14080" width="9" style="9"/>
    <col min="14081" max="14081" width="16.125" style="9" customWidth="1"/>
    <col min="14082" max="14082" width="6.375" style="9" customWidth="1"/>
    <col min="14083" max="14090" width="9" style="9"/>
    <col min="14091" max="14091" width="9.5" style="9" bestFit="1" customWidth="1"/>
    <col min="14092" max="14336" width="9" style="9"/>
    <col min="14337" max="14337" width="16.125" style="9" customWidth="1"/>
    <col min="14338" max="14338" width="6.375" style="9" customWidth="1"/>
    <col min="14339" max="14346" width="9" style="9"/>
    <col min="14347" max="14347" width="9.5" style="9" bestFit="1" customWidth="1"/>
    <col min="14348" max="14592" width="9" style="9"/>
    <col min="14593" max="14593" width="16.125" style="9" customWidth="1"/>
    <col min="14594" max="14594" width="6.375" style="9" customWidth="1"/>
    <col min="14595" max="14602" width="9" style="9"/>
    <col min="14603" max="14603" width="9.5" style="9" bestFit="1" customWidth="1"/>
    <col min="14604" max="14848" width="9" style="9"/>
    <col min="14849" max="14849" width="16.125" style="9" customWidth="1"/>
    <col min="14850" max="14850" width="6.375" style="9" customWidth="1"/>
    <col min="14851" max="14858" width="9" style="9"/>
    <col min="14859" max="14859" width="9.5" style="9" bestFit="1" customWidth="1"/>
    <col min="14860" max="15104" width="9" style="9"/>
    <col min="15105" max="15105" width="16.125" style="9" customWidth="1"/>
    <col min="15106" max="15106" width="6.375" style="9" customWidth="1"/>
    <col min="15107" max="15114" width="9" style="9"/>
    <col min="15115" max="15115" width="9.5" style="9" bestFit="1" customWidth="1"/>
    <col min="15116" max="15360" width="9" style="9"/>
    <col min="15361" max="15361" width="16.125" style="9" customWidth="1"/>
    <col min="15362" max="15362" width="6.375" style="9" customWidth="1"/>
    <col min="15363" max="15370" width="9" style="9"/>
    <col min="15371" max="15371" width="9.5" style="9" bestFit="1" customWidth="1"/>
    <col min="15372" max="15616" width="9" style="9"/>
    <col min="15617" max="15617" width="16.125" style="9" customWidth="1"/>
    <col min="15618" max="15618" width="6.375" style="9" customWidth="1"/>
    <col min="15619" max="15626" width="9" style="9"/>
    <col min="15627" max="15627" width="9.5" style="9" bestFit="1" customWidth="1"/>
    <col min="15628" max="15872" width="9" style="9"/>
    <col min="15873" max="15873" width="16.125" style="9" customWidth="1"/>
    <col min="15874" max="15874" width="6.375" style="9" customWidth="1"/>
    <col min="15875" max="15882" width="9" style="9"/>
    <col min="15883" max="15883" width="9.5" style="9" bestFit="1" customWidth="1"/>
    <col min="15884" max="16128" width="9" style="9"/>
    <col min="16129" max="16129" width="16.125" style="9" customWidth="1"/>
    <col min="16130" max="16130" width="6.375" style="9" customWidth="1"/>
    <col min="16131" max="16138" width="9" style="9"/>
    <col min="16139" max="16139" width="9.5" style="9" bestFit="1" customWidth="1"/>
    <col min="16140" max="16384" width="9" style="9"/>
  </cols>
  <sheetData>
    <row r="1" spans="1:12">
      <c r="A1" s="6" t="s">
        <v>12</v>
      </c>
      <c r="B1" s="6">
        <v>20</v>
      </c>
      <c r="C1" s="7"/>
      <c r="D1" s="8"/>
      <c r="E1" s="8" t="s">
        <v>13</v>
      </c>
      <c r="F1" s="8" t="s">
        <v>14</v>
      </c>
      <c r="G1" s="8" t="s">
        <v>15</v>
      </c>
      <c r="H1" s="8" t="s">
        <v>16</v>
      </c>
      <c r="I1" s="8" t="s">
        <v>17</v>
      </c>
      <c r="J1" s="8"/>
      <c r="L1" s="10">
        <f ca="1">B13</f>
        <v>0.35</v>
      </c>
    </row>
    <row r="2" spans="1:12">
      <c r="A2" s="11" t="s">
        <v>18</v>
      </c>
      <c r="B2" s="6">
        <v>1500</v>
      </c>
      <c r="D2" s="9">
        <v>0</v>
      </c>
      <c r="H2" s="9">
        <f>B2</f>
        <v>1500</v>
      </c>
      <c r="I2" s="9">
        <v>0</v>
      </c>
      <c r="K2" s="9">
        <v>1</v>
      </c>
      <c r="L2" s="9">
        <f t="dataTable" ref="L2:L51" dt2D="0" dtr="0" r1="C1" ca="1"/>
        <v>0.15</v>
      </c>
    </row>
    <row r="3" spans="1:12">
      <c r="D3" s="9">
        <v>1</v>
      </c>
      <c r="E3" s="9">
        <f>H2</f>
        <v>1500</v>
      </c>
      <c r="F3" s="9">
        <f t="shared" ref="F3:F22" si="0">$B$4+I2*$B$5</f>
        <v>800</v>
      </c>
      <c r="G3" s="9">
        <f t="shared" ref="G3:G22" ca="1" si="1">NORMINV(RAND(),$B$7,$B$8)</f>
        <v>1056.5758063313465</v>
      </c>
      <c r="H3" s="9">
        <f ca="1">E3+F3-G3</f>
        <v>1243.4241936686535</v>
      </c>
      <c r="I3" s="9">
        <f t="shared" ref="I3:I22" ca="1" si="2">IF(H3&lt;$B$10,1,0)</f>
        <v>0</v>
      </c>
      <c r="K3" s="9">
        <v>2</v>
      </c>
      <c r="L3" s="9">
        <v>0.1</v>
      </c>
    </row>
    <row r="4" spans="1:12">
      <c r="A4" s="11" t="s">
        <v>19</v>
      </c>
      <c r="B4" s="6">
        <v>800</v>
      </c>
      <c r="D4" s="9">
        <v>2</v>
      </c>
      <c r="E4" s="9">
        <f t="shared" ref="E4:E22" ca="1" si="3">H3</f>
        <v>1243.4241936686535</v>
      </c>
      <c r="F4" s="9">
        <f t="shared" ca="1" si="0"/>
        <v>800</v>
      </c>
      <c r="G4" s="9">
        <f t="shared" ca="1" si="1"/>
        <v>581.53173786918842</v>
      </c>
      <c r="H4" s="9">
        <f t="shared" ref="H4:H22" ca="1" si="4">E4+F4-G4</f>
        <v>1461.8924557994651</v>
      </c>
      <c r="I4" s="9">
        <f t="shared" ca="1" si="2"/>
        <v>0</v>
      </c>
      <c r="K4" s="9">
        <v>3</v>
      </c>
      <c r="L4" s="9">
        <v>0.2</v>
      </c>
    </row>
    <row r="5" spans="1:12">
      <c r="A5" s="11" t="s">
        <v>20</v>
      </c>
      <c r="B5" s="6">
        <v>300</v>
      </c>
      <c r="D5" s="9">
        <v>3</v>
      </c>
      <c r="E5" s="9">
        <f t="shared" ca="1" si="3"/>
        <v>1461.8924557994651</v>
      </c>
      <c r="F5" s="9">
        <f t="shared" ca="1" si="0"/>
        <v>800</v>
      </c>
      <c r="G5" s="9">
        <f t="shared" ca="1" si="1"/>
        <v>413.16604040060179</v>
      </c>
      <c r="H5" s="9">
        <f t="shared" ca="1" si="4"/>
        <v>1848.7264153988633</v>
      </c>
      <c r="I5" s="9">
        <f t="shared" ca="1" si="2"/>
        <v>0</v>
      </c>
      <c r="K5" s="9">
        <v>4</v>
      </c>
      <c r="L5" s="9">
        <v>0.2</v>
      </c>
    </row>
    <row r="6" spans="1:12">
      <c r="D6" s="9">
        <v>4</v>
      </c>
      <c r="E6" s="9">
        <f t="shared" ca="1" si="3"/>
        <v>1848.7264153988633</v>
      </c>
      <c r="F6" s="9">
        <f t="shared" ca="1" si="0"/>
        <v>800</v>
      </c>
      <c r="G6" s="9">
        <f t="shared" ca="1" si="1"/>
        <v>863.23408419485816</v>
      </c>
      <c r="H6" s="9">
        <f t="shared" ca="1" si="4"/>
        <v>1785.4923312040055</v>
      </c>
      <c r="I6" s="9">
        <f t="shared" ca="1" si="2"/>
        <v>0</v>
      </c>
      <c r="K6" s="9">
        <v>5</v>
      </c>
      <c r="L6" s="9">
        <v>0.75</v>
      </c>
    </row>
    <row r="7" spans="1:12">
      <c r="A7" s="11" t="s">
        <v>21</v>
      </c>
      <c r="B7" s="6">
        <v>900</v>
      </c>
      <c r="D7" s="9">
        <v>5</v>
      </c>
      <c r="E7" s="9">
        <f t="shared" ca="1" si="3"/>
        <v>1785.4923312040055</v>
      </c>
      <c r="F7" s="9">
        <f t="shared" ca="1" si="0"/>
        <v>800</v>
      </c>
      <c r="G7" s="9">
        <f t="shared" ca="1" si="1"/>
        <v>1072.9791598274223</v>
      </c>
      <c r="H7" s="9">
        <f t="shared" ca="1" si="4"/>
        <v>1512.5131713765832</v>
      </c>
      <c r="I7" s="9">
        <f t="shared" ca="1" si="2"/>
        <v>0</v>
      </c>
      <c r="K7" s="9">
        <v>6</v>
      </c>
      <c r="L7" s="9">
        <v>0.5</v>
      </c>
    </row>
    <row r="8" spans="1:12">
      <c r="A8" s="11" t="s">
        <v>22</v>
      </c>
      <c r="B8" s="6">
        <v>300</v>
      </c>
      <c r="D8" s="9">
        <v>6</v>
      </c>
      <c r="E8" s="9">
        <f t="shared" ca="1" si="3"/>
        <v>1512.5131713765832</v>
      </c>
      <c r="F8" s="9">
        <f t="shared" ca="1" si="0"/>
        <v>800</v>
      </c>
      <c r="G8" s="9">
        <f t="shared" ca="1" si="1"/>
        <v>633.1794810658655</v>
      </c>
      <c r="H8" s="9">
        <f t="shared" ca="1" si="4"/>
        <v>1679.3336903107177</v>
      </c>
      <c r="I8" s="9">
        <f t="shared" ca="1" si="2"/>
        <v>0</v>
      </c>
      <c r="K8" s="9">
        <v>7</v>
      </c>
      <c r="L8" s="9">
        <v>0.3</v>
      </c>
    </row>
    <row r="9" spans="1:12">
      <c r="D9" s="9">
        <v>7</v>
      </c>
      <c r="E9" s="9">
        <f t="shared" ca="1" si="3"/>
        <v>1679.3336903107177</v>
      </c>
      <c r="F9" s="9">
        <f t="shared" ca="1" si="0"/>
        <v>800</v>
      </c>
      <c r="G9" s="9">
        <f t="shared" ca="1" si="1"/>
        <v>1466.9150401142379</v>
      </c>
      <c r="H9" s="9">
        <f t="shared" ca="1" si="4"/>
        <v>1012.4186501964796</v>
      </c>
      <c r="I9" s="9">
        <f t="shared" ca="1" si="2"/>
        <v>0</v>
      </c>
      <c r="K9" s="9">
        <v>8</v>
      </c>
      <c r="L9" s="9">
        <v>0.35</v>
      </c>
    </row>
    <row r="10" spans="1:12">
      <c r="A10" s="9" t="s">
        <v>23</v>
      </c>
      <c r="B10" s="9">
        <v>600</v>
      </c>
      <c r="D10" s="9">
        <v>8</v>
      </c>
      <c r="E10" s="9">
        <f t="shared" ca="1" si="3"/>
        <v>1012.4186501964796</v>
      </c>
      <c r="F10" s="9">
        <f t="shared" ca="1" si="0"/>
        <v>800</v>
      </c>
      <c r="G10" s="9">
        <f t="shared" ca="1" si="1"/>
        <v>1177.1310866927683</v>
      </c>
      <c r="H10" s="9">
        <f t="shared" ca="1" si="4"/>
        <v>635.28756350371123</v>
      </c>
      <c r="I10" s="9">
        <f t="shared" ca="1" si="2"/>
        <v>0</v>
      </c>
      <c r="K10" s="9">
        <v>9</v>
      </c>
      <c r="L10" s="9">
        <v>0.15</v>
      </c>
    </row>
    <row r="11" spans="1:12">
      <c r="D11" s="9">
        <v>9</v>
      </c>
      <c r="E11" s="9">
        <f t="shared" ca="1" si="3"/>
        <v>635.28756350371123</v>
      </c>
      <c r="F11" s="9">
        <f t="shared" ca="1" si="0"/>
        <v>800</v>
      </c>
      <c r="G11" s="9">
        <f t="shared" ca="1" si="1"/>
        <v>1312.1120168856385</v>
      </c>
      <c r="H11" s="9">
        <f t="shared" ca="1" si="4"/>
        <v>123.17554661807276</v>
      </c>
      <c r="I11" s="9">
        <f t="shared" ca="1" si="2"/>
        <v>1</v>
      </c>
      <c r="K11" s="9">
        <v>10</v>
      </c>
      <c r="L11" s="9">
        <v>0.35</v>
      </c>
    </row>
    <row r="12" spans="1:12">
      <c r="A12" s="12" t="s">
        <v>24</v>
      </c>
      <c r="B12" s="9">
        <f ca="1">SUM(I3:I22)</f>
        <v>7</v>
      </c>
      <c r="D12" s="9">
        <v>10</v>
      </c>
      <c r="E12" s="9">
        <f t="shared" ca="1" si="3"/>
        <v>123.17554661807276</v>
      </c>
      <c r="F12" s="9">
        <f t="shared" ca="1" si="0"/>
        <v>1100</v>
      </c>
      <c r="G12" s="9">
        <f t="shared" ca="1" si="1"/>
        <v>1175.1986817050115</v>
      </c>
      <c r="H12" s="9">
        <f t="shared" ca="1" si="4"/>
        <v>47.976864913061263</v>
      </c>
      <c r="I12" s="9">
        <f t="shared" ca="1" si="2"/>
        <v>1</v>
      </c>
      <c r="K12" s="9">
        <v>11</v>
      </c>
      <c r="L12" s="9">
        <v>0.3</v>
      </c>
    </row>
    <row r="13" spans="1:12">
      <c r="A13" s="12" t="s">
        <v>25</v>
      </c>
      <c r="B13" s="13">
        <f ca="1">B12/B1</f>
        <v>0.35</v>
      </c>
      <c r="D13" s="9">
        <v>11</v>
      </c>
      <c r="E13" s="9">
        <f t="shared" ca="1" si="3"/>
        <v>47.976864913061263</v>
      </c>
      <c r="F13" s="9">
        <f t="shared" ca="1" si="0"/>
        <v>1100</v>
      </c>
      <c r="G13" s="9">
        <f t="shared" ca="1" si="1"/>
        <v>726.53795954648604</v>
      </c>
      <c r="H13" s="9">
        <f t="shared" ca="1" si="4"/>
        <v>421.43890536657523</v>
      </c>
      <c r="I13" s="9">
        <f t="shared" ca="1" si="2"/>
        <v>1</v>
      </c>
      <c r="K13" s="9">
        <v>12</v>
      </c>
      <c r="L13" s="9">
        <v>0.1</v>
      </c>
    </row>
    <row r="14" spans="1:12">
      <c r="D14" s="9">
        <v>12</v>
      </c>
      <c r="E14" s="9">
        <f t="shared" ca="1" si="3"/>
        <v>421.43890536657523</v>
      </c>
      <c r="F14" s="9">
        <f t="shared" ca="1" si="0"/>
        <v>1100</v>
      </c>
      <c r="G14" s="9">
        <f t="shared" ca="1" si="1"/>
        <v>448.29869729259218</v>
      </c>
      <c r="H14" s="9">
        <f t="shared" ca="1" si="4"/>
        <v>1073.1402080739831</v>
      </c>
      <c r="I14" s="9">
        <f t="shared" ca="1" si="2"/>
        <v>0</v>
      </c>
      <c r="K14" s="9">
        <v>13</v>
      </c>
      <c r="L14" s="9">
        <v>0.25</v>
      </c>
    </row>
    <row r="15" spans="1:12">
      <c r="A15" s="9" t="s">
        <v>26</v>
      </c>
      <c r="B15" s="14">
        <f>COUNTIF(L2:L51,"&gt;=40%")/50</f>
        <v>0.16</v>
      </c>
      <c r="D15" s="9">
        <v>13</v>
      </c>
      <c r="E15" s="9">
        <f t="shared" ca="1" si="3"/>
        <v>1073.1402080739831</v>
      </c>
      <c r="F15" s="9">
        <f t="shared" ca="1" si="0"/>
        <v>800</v>
      </c>
      <c r="G15" s="9">
        <f t="shared" ca="1" si="1"/>
        <v>834.53802819196335</v>
      </c>
      <c r="H15" s="9">
        <f t="shared" ca="1" si="4"/>
        <v>1038.6021798820198</v>
      </c>
      <c r="I15" s="9">
        <f t="shared" ca="1" si="2"/>
        <v>0</v>
      </c>
      <c r="K15" s="9">
        <v>14</v>
      </c>
      <c r="L15" s="9">
        <v>0.25</v>
      </c>
    </row>
    <row r="16" spans="1:12">
      <c r="D16" s="9">
        <v>14</v>
      </c>
      <c r="E16" s="9">
        <f t="shared" ca="1" si="3"/>
        <v>1038.6021798820198</v>
      </c>
      <c r="F16" s="9">
        <f t="shared" ca="1" si="0"/>
        <v>800</v>
      </c>
      <c r="G16" s="9">
        <f t="shared" ca="1" si="1"/>
        <v>1416.4537719973864</v>
      </c>
      <c r="H16" s="9">
        <f t="shared" ca="1" si="4"/>
        <v>422.14840788463334</v>
      </c>
      <c r="I16" s="9">
        <f t="shared" ca="1" si="2"/>
        <v>1</v>
      </c>
      <c r="K16" s="9">
        <v>15</v>
      </c>
      <c r="L16" s="9">
        <v>0.05</v>
      </c>
    </row>
    <row r="17" spans="4:12">
      <c r="D17" s="9">
        <v>15</v>
      </c>
      <c r="E17" s="9">
        <f t="shared" ca="1" si="3"/>
        <v>422.14840788463334</v>
      </c>
      <c r="F17" s="9">
        <f t="shared" ca="1" si="0"/>
        <v>1100</v>
      </c>
      <c r="G17" s="9">
        <f t="shared" ca="1" si="1"/>
        <v>747.40141209905391</v>
      </c>
      <c r="H17" s="9">
        <f t="shared" ca="1" si="4"/>
        <v>774.74699578557943</v>
      </c>
      <c r="I17" s="9">
        <f t="shared" ca="1" si="2"/>
        <v>0</v>
      </c>
      <c r="K17" s="9">
        <v>16</v>
      </c>
      <c r="L17" s="9">
        <v>0.25</v>
      </c>
    </row>
    <row r="18" spans="4:12">
      <c r="D18" s="9">
        <v>16</v>
      </c>
      <c r="E18" s="9">
        <f t="shared" ca="1" si="3"/>
        <v>774.74699578557943</v>
      </c>
      <c r="F18" s="9">
        <f t="shared" ca="1" si="0"/>
        <v>800</v>
      </c>
      <c r="G18" s="9">
        <f t="shared" ca="1" si="1"/>
        <v>1100.7256442473636</v>
      </c>
      <c r="H18" s="9">
        <f t="shared" ca="1" si="4"/>
        <v>474.02135153821587</v>
      </c>
      <c r="I18" s="9">
        <f t="shared" ca="1" si="2"/>
        <v>1</v>
      </c>
      <c r="K18" s="9">
        <v>17</v>
      </c>
      <c r="L18" s="9">
        <v>0.05</v>
      </c>
    </row>
    <row r="19" spans="4:12">
      <c r="D19" s="9">
        <v>17</v>
      </c>
      <c r="E19" s="9">
        <f t="shared" ca="1" si="3"/>
        <v>474.02135153821587</v>
      </c>
      <c r="F19" s="9">
        <f t="shared" ca="1" si="0"/>
        <v>1100</v>
      </c>
      <c r="G19" s="9">
        <f t="shared" ca="1" si="1"/>
        <v>1083.8266290207548</v>
      </c>
      <c r="H19" s="9">
        <f t="shared" ca="1" si="4"/>
        <v>490.19472251746106</v>
      </c>
      <c r="I19" s="9">
        <f t="shared" ca="1" si="2"/>
        <v>1</v>
      </c>
      <c r="K19" s="9">
        <v>18</v>
      </c>
      <c r="L19" s="9">
        <v>0.1</v>
      </c>
    </row>
    <row r="20" spans="4:12">
      <c r="D20" s="9">
        <v>18</v>
      </c>
      <c r="E20" s="9">
        <f t="shared" ca="1" si="3"/>
        <v>490.19472251746106</v>
      </c>
      <c r="F20" s="9">
        <f t="shared" ca="1" si="0"/>
        <v>1100</v>
      </c>
      <c r="G20" s="9">
        <f t="shared" ca="1" si="1"/>
        <v>886.98847404808612</v>
      </c>
      <c r="H20" s="9">
        <f t="shared" ca="1" si="4"/>
        <v>703.20624846937494</v>
      </c>
      <c r="I20" s="9">
        <f t="shared" ca="1" si="2"/>
        <v>0</v>
      </c>
      <c r="K20" s="9">
        <v>19</v>
      </c>
      <c r="L20" s="9">
        <v>0.4</v>
      </c>
    </row>
    <row r="21" spans="4:12">
      <c r="D21" s="9">
        <v>19</v>
      </c>
      <c r="E21" s="9">
        <f t="shared" ca="1" si="3"/>
        <v>703.20624846937494</v>
      </c>
      <c r="F21" s="9">
        <f t="shared" ca="1" si="0"/>
        <v>800</v>
      </c>
      <c r="G21" s="9">
        <f t="shared" ca="1" si="1"/>
        <v>899.25609759211761</v>
      </c>
      <c r="H21" s="9">
        <f t="shared" ca="1" si="4"/>
        <v>603.95015087725733</v>
      </c>
      <c r="I21" s="9">
        <f t="shared" ca="1" si="2"/>
        <v>0</v>
      </c>
      <c r="K21" s="9">
        <v>20</v>
      </c>
      <c r="L21" s="9">
        <v>0.4</v>
      </c>
    </row>
    <row r="22" spans="4:12">
      <c r="D22" s="9">
        <v>20</v>
      </c>
      <c r="E22" s="9">
        <f t="shared" ca="1" si="3"/>
        <v>603.95015087725733</v>
      </c>
      <c r="F22" s="9">
        <f t="shared" ca="1" si="0"/>
        <v>800</v>
      </c>
      <c r="G22" s="9">
        <f t="shared" ca="1" si="1"/>
        <v>1227.1278612575327</v>
      </c>
      <c r="H22" s="9">
        <f t="shared" ca="1" si="4"/>
        <v>176.82228961972464</v>
      </c>
      <c r="I22" s="9">
        <f t="shared" ca="1" si="2"/>
        <v>1</v>
      </c>
      <c r="K22" s="9">
        <v>21</v>
      </c>
      <c r="L22" s="9">
        <v>0.55000000000000004</v>
      </c>
    </row>
    <row r="23" spans="4:12">
      <c r="K23" s="9">
        <v>22</v>
      </c>
      <c r="L23" s="9">
        <v>0.25</v>
      </c>
    </row>
    <row r="24" spans="4:12">
      <c r="K24" s="9">
        <v>23</v>
      </c>
      <c r="L24" s="9">
        <v>0.35</v>
      </c>
    </row>
    <row r="25" spans="4:12">
      <c r="E25" s="10"/>
      <c r="K25" s="9">
        <v>24</v>
      </c>
      <c r="L25" s="9">
        <v>0.15</v>
      </c>
    </row>
    <row r="26" spans="4:12">
      <c r="D26" s="15"/>
      <c r="F26" s="13"/>
      <c r="G26" s="13"/>
      <c r="H26" s="13"/>
      <c r="I26" s="13"/>
      <c r="J26" s="13"/>
      <c r="K26" s="9">
        <v>25</v>
      </c>
      <c r="L26" s="9">
        <v>0.55000000000000004</v>
      </c>
    </row>
    <row r="27" spans="4:12">
      <c r="D27" s="15"/>
      <c r="F27" s="13"/>
      <c r="G27" s="13"/>
      <c r="H27" s="13"/>
      <c r="I27" s="13"/>
      <c r="J27" s="13"/>
      <c r="K27" s="9">
        <v>26</v>
      </c>
      <c r="L27" s="9">
        <v>0.1</v>
      </c>
    </row>
    <row r="28" spans="4:12">
      <c r="D28" s="15"/>
      <c r="F28" s="13"/>
      <c r="G28" s="13"/>
      <c r="H28" s="13"/>
      <c r="I28" s="13"/>
      <c r="J28" s="13"/>
      <c r="K28" s="9">
        <v>27</v>
      </c>
      <c r="L28" s="9">
        <v>0.4</v>
      </c>
    </row>
    <row r="29" spans="4:12">
      <c r="D29" s="15"/>
      <c r="F29" s="13"/>
      <c r="G29" s="13"/>
      <c r="H29" s="13"/>
      <c r="I29" s="13"/>
      <c r="J29" s="13"/>
      <c r="K29" s="9">
        <v>28</v>
      </c>
      <c r="L29" s="9">
        <v>0.2</v>
      </c>
    </row>
    <row r="30" spans="4:12">
      <c r="D30" s="15"/>
      <c r="F30" s="13"/>
      <c r="G30" s="13"/>
      <c r="H30" s="13"/>
      <c r="I30" s="13"/>
      <c r="J30" s="13"/>
      <c r="K30" s="9">
        <v>29</v>
      </c>
      <c r="L30" s="9">
        <v>0.35</v>
      </c>
    </row>
    <row r="31" spans="4:12">
      <c r="K31" s="9">
        <v>30</v>
      </c>
      <c r="L31" s="9">
        <v>0.2</v>
      </c>
    </row>
    <row r="32" spans="4:12">
      <c r="K32" s="9">
        <v>31</v>
      </c>
      <c r="L32" s="9">
        <v>0.2</v>
      </c>
    </row>
    <row r="33" spans="11:12">
      <c r="K33" s="9">
        <v>32</v>
      </c>
      <c r="L33" s="9">
        <v>0.35</v>
      </c>
    </row>
    <row r="34" spans="11:12">
      <c r="K34" s="9">
        <v>33</v>
      </c>
      <c r="L34" s="9">
        <v>0.35</v>
      </c>
    </row>
    <row r="35" spans="11:12">
      <c r="K35" s="9">
        <v>34</v>
      </c>
      <c r="L35" s="9">
        <v>0.15</v>
      </c>
    </row>
    <row r="36" spans="11:12">
      <c r="K36" s="9">
        <v>35</v>
      </c>
      <c r="L36" s="9">
        <v>0.3</v>
      </c>
    </row>
    <row r="37" spans="11:12">
      <c r="K37" s="9">
        <v>36</v>
      </c>
      <c r="L37" s="9">
        <v>0.15</v>
      </c>
    </row>
    <row r="38" spans="11:12">
      <c r="K38" s="9">
        <v>37</v>
      </c>
      <c r="L38" s="9">
        <v>0.35</v>
      </c>
    </row>
    <row r="39" spans="11:12">
      <c r="K39" s="9">
        <v>38</v>
      </c>
      <c r="L39" s="9">
        <v>0.2</v>
      </c>
    </row>
    <row r="40" spans="11:12">
      <c r="K40" s="9">
        <v>39</v>
      </c>
      <c r="L40" s="9">
        <v>0.35</v>
      </c>
    </row>
    <row r="41" spans="11:12">
      <c r="K41" s="9">
        <v>40</v>
      </c>
      <c r="L41" s="9">
        <v>0.05</v>
      </c>
    </row>
    <row r="42" spans="11:12">
      <c r="K42" s="9">
        <v>41</v>
      </c>
      <c r="L42" s="9">
        <v>0.25</v>
      </c>
    </row>
    <row r="43" spans="11:12">
      <c r="K43" s="9">
        <v>42</v>
      </c>
      <c r="L43" s="9">
        <v>0.2</v>
      </c>
    </row>
    <row r="44" spans="11:12">
      <c r="K44" s="9">
        <v>43</v>
      </c>
      <c r="L44" s="9">
        <v>0.1</v>
      </c>
    </row>
    <row r="45" spans="11:12">
      <c r="K45" s="9">
        <v>44</v>
      </c>
      <c r="L45" s="9">
        <v>0</v>
      </c>
    </row>
    <row r="46" spans="11:12">
      <c r="K46" s="9">
        <v>45</v>
      </c>
      <c r="L46" s="9">
        <v>0.3</v>
      </c>
    </row>
    <row r="47" spans="11:12">
      <c r="K47" s="9">
        <v>46</v>
      </c>
      <c r="L47" s="9">
        <v>0.05</v>
      </c>
    </row>
    <row r="48" spans="11:12">
      <c r="K48" s="9">
        <v>47</v>
      </c>
      <c r="L48" s="9">
        <v>0.2</v>
      </c>
    </row>
    <row r="49" spans="11:12">
      <c r="K49" s="9">
        <v>48</v>
      </c>
      <c r="L49" s="9">
        <v>0.1</v>
      </c>
    </row>
    <row r="50" spans="11:12">
      <c r="K50" s="9">
        <v>49</v>
      </c>
      <c r="L50" s="9">
        <v>0.5</v>
      </c>
    </row>
    <row r="51" spans="11:12">
      <c r="K51" s="9">
        <v>50</v>
      </c>
      <c r="L51" s="9">
        <v>0.3</v>
      </c>
    </row>
  </sheetData>
  <phoneticPr fontId="4" type="noConversion"/>
  <pageMargins left="0.75" right="0.75" top="1" bottom="1" header="0.5" footer="0.5"/>
  <pageSetup paperSize="9"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第1题答案</vt:lpstr>
      <vt:lpstr>第2题答案</vt:lpstr>
      <vt:lpstr>第3题答案</vt:lpstr>
      <vt:lpstr>第4题答案</vt:lpstr>
      <vt:lpstr>第5题答案</vt:lpstr>
      <vt:lpstr>第6题答案1</vt:lpstr>
      <vt:lpstr>第6题答案2</vt:lpstr>
      <vt:lpstr>第7题答案</vt:lpstr>
      <vt:lpstr>第8题答案</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匿名用户</dc:creator>
  <cp:lastModifiedBy>C02</cp:lastModifiedBy>
  <dcterms:created xsi:type="dcterms:W3CDTF">2014-06-27T05:35:29Z</dcterms:created>
  <dcterms:modified xsi:type="dcterms:W3CDTF">2018-06-10T07:37:09Z</dcterms:modified>
</cp:coreProperties>
</file>